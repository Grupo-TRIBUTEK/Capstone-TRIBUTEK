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ón Proyecto Carta Gantt" sheetId="1" r:id="rId5"/>
    <sheet state="visible" name="Copia de Gestión Proyecto Cart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tc={03b06dce-0626-493e-91e0-7126670d72ee}</author>
    <author>tc={078ee080-31ae-48a8-9514-f054244568c1}</author>
    <author>tc={0d1c73fc-e82b-46fe-81d6-6de5555d0986}</author>
    <author>tc={0df0fe57-0871-443e-a51d-88c26189f5ea}</author>
    <author>tc={17326998-4628-4dd6-be71-6e4cf16f8abb}</author>
    <author>tc={1a8e2696-6fde-4e57-b7bf-bb2436d32a42}</author>
    <author>tc={21c6debe-9088-472e-a41a-b64d7ce0e18d}</author>
    <author>tc={25563c27-bfde-4de7-9bf3-71920154c9aa}</author>
    <author>tc={256691dd-b647-4141-bfa5-0577b23c1456}</author>
    <author>tc={32b1fc2a-8dd0-423c-ad84-48ab13587e6d}</author>
    <author>tc={345727d1-f7f9-4640-9569-c1a1a796c29a}</author>
    <author>tc={391a1881-5104-47ac-831e-2e1c732e616e}</author>
    <author>tc={39390f7b-a8b8-4d6e-935f-850876901f37}</author>
    <author>tc={4185c368-c596-470e-aad6-d82822d67fe8}</author>
    <author>tc={42419a7f-21e8-474b-acd9-dd56bf9beb1f}</author>
    <author>tc={42d771a8-e1d7-403d-a2e3-87682ffd36ad}</author>
    <author>tc={43c7572c-4df6-4278-b73a-61689f53a265}</author>
    <author>tc={47043783-398c-416e-9738-33bfbb2e5c4b}</author>
    <author>tc={4812db5a-281a-4ce5-8d24-e2ad351fea76}</author>
    <author>tc={49179e62-2b47-49a9-9e25-3fe7d172d7f8}</author>
    <author>tc={4a27d0b4-a9e4-4fab-a480-6d045626e047}</author>
    <author>tc={4aed0581-10ba-4a5e-89a3-0120def22102}</author>
    <author>tc={51e6ce74-3f86-4adf-a1d3-2efb8e0149ea}</author>
    <author>tc={591e81bd-3265-449d-8afa-41a4d839d43c}</author>
    <author>tc={5aa185fb-c10f-4d2f-a33b-63f1cc25eb50}</author>
    <author>tc={628db4e4-b545-498a-b908-e716d44d9df0}</author>
    <author>tc={66f020ca-d246-4290-9870-a42b110fc640}</author>
    <author>tc={69ce1a25-c29e-4339-8bdd-6c7f58cfa9a3}</author>
    <author>tc={6b688bdc-db33-446a-9b9a-1c9d0c4e281e}</author>
    <author>tc={6f2bdeb2-627f-441f-b2fd-c2890eb3db0e}</author>
    <author>tc={73644923-37c6-4584-ad28-9213fe3cd7e0}</author>
    <author>tc={7a7050ef-ef82-4019-8fdc-8565f4f9e216}</author>
    <author>tc={7c62b564-32bc-406b-8437-1433e84b04bb}</author>
    <author>tc={821ca7ea-a35e-45ea-be8c-f701e3e11317}</author>
    <author>tc={8844ca00-571e-4883-bac1-96a25492ff60}</author>
    <author>tc={8a5e0834-9ece-4273-8e5a-894333c124d7}</author>
    <author>tc={9160287b-60ce-459b-9d09-2f16306a2c17}</author>
    <author>tc={921a4c85-5d7c-4974-ba1d-a8b7bb04d166}</author>
    <author>tc={969b4c1c-1578-45a7-b454-419debfc21e0}</author>
    <author>tc={a2a666c7-95ca-4179-aab5-3c8567fb49fc}</author>
    <author>tc={a3943b50-0366-4f86-bb4a-827807427117}</author>
    <author>tc={b501403a-34f4-4f0b-a1ae-90d148e23e15}</author>
    <author>tc={bc641da2-43d3-4dbb-9dcb-3601892a0440}</author>
    <author>tc={bfb42fd7-4032-49ff-a188-d3111b7df283}</author>
    <author>tc={c420aa7d-b017-46a1-8223-85c8341b6ffa}</author>
    <author>tc={c4b6d04f-412b-4350-a3f7-76804d8178ea}</author>
    <author>tc={c672b54f-787c-44fd-be9b-5d80913f1f11}</author>
    <author>tc={cbf01572-f0e8-49d5-8af4-d9abaf01a122}</author>
    <author>tc={d596e93a-5756-454f-ae22-5b33f58d5d3b}</author>
    <author>tc={d91af5ee-1df9-49e9-9371-1c95e66d4ecc}</author>
    <author>tc={e79e2ec1-e905-4a1c-a4fb-4f61c6dc4b67}</author>
    <author>tc={edafec7f-70e0-41ce-8189-f9e33df0d4ad}</author>
    <author>tc={f6a2f75f-365a-4ab6-907b-fb74724c3011}</author>
    <author>tc={f6fb29af-c3e4-4ee8-b297-a02e6a42725f}</author>
    <author>tc={f8e7ec57-9ae8-4e54-848e-d6b78ac03a89}</author>
    <author>tc={ffd5d2da-af33-4fe6-a74a-c11fa9ecbf1e}</author>
  </authors>
  <commentList>
    <comment authorId="0" xr:uid="{03b06dce-0626-493e-91e0-7126670d72ee}" ref="C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Cada integrante registra su aporte y reflexión. Nazaret organiza evidencias grupales y Brandon aporta registros técnicos.
</t>
      </text>
    </comment>
    <comment authorId="1" xr:uid="{078ee080-31ae-48a8-9514-f054244568c1}" ref="C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Brandon documenta decisiones, API, BD y despliegue mientras desarrolla. Nazaret aporta los flujos de usuario.
</t>
      </text>
    </comment>
    <comment authorId="2" xr:uid="{0d1c73fc-e82b-46fe-81d6-6de5555d0986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reúne las evidencias y prepara la exposición. Brandon revisa y aporta sus entregables.
</t>
      </text>
    </comment>
    <comment authorId="3" xr:uid="{0df0fe57-0871-443e-a51d-88c26189f5ea}" ref="C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registra usuario, acción, cliente y fecha, y habilita el historial administrativo. Nazaret revisa su consulta.
</t>
      </text>
    </comment>
    <comment authorId="4" xr:uid="{17326998-4628-4dd6-be71-6e4cf16f8abb}" ref="C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implementa cobros, pagos, abonos y cálculo de saldos por cliente y período. Nazaret revisa los resultados.
</t>
      </text>
    </comment>
    <comment authorId="5" xr:uid="{1a8e2696-6fde-4e57-b7bf-bb2436d32a42}" ref="C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Brandon completa arquitectura, BD, instalación, despliegue, respaldo y mantenimiento. Nazaret revisa la claridad de uso.
</t>
      </text>
    </comment>
    <comment authorId="6" xr:uid="{21c6debe-9088-472e-a41a-b64d7ce0e18d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implementa panel, consulta de documentos y gestiones visibles. Brandon revisa el aislamiento entre clientes.
</t>
      </text>
    </comment>
    <comment authorId="7" xr:uid="{25563c27-bfde-4de7-9bf3-71920154c9aa}" ref="C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
</t>
      </text>
    </comment>
    <comment authorId="8" xr:uid="{256691dd-b647-4141-bfa5-0577b23c1456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Nazaret registra las indicaciones y las actividades de la primera semana.
</t>
      </text>
    </comment>
    <comment authorId="9" xr:uid="{32b1fc2a-8dd0-423c-ad84-48ab13587e6d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Brandon organiza el repositorio. Ambos registran tareas y evidencias en GitHub Projects.
</t>
      </text>
    </comment>
    <comment authorId="10" xr:uid="{345727d1-f7f9-4640-9569-c1a1a796c29a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Brandon conduce la reunión. Nazaret participa con preguntas y análisis. La jefatura valida las necesidades, según RACI.
</t>
      </text>
    </comment>
    <comment authorId="11" xr:uid="{391a1881-5104-47ac-831e-2e1c732e616e}" ref="C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configura y documenta el respaldo de BD y archivos. Ejecuta una prueba de recuperación con datos de ensayo.
</t>
      </text>
    </comment>
    <comment authorId="12" xr:uid="{39390f7b-a8b8-4d6e-935f-850876901f37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Detalle de aportes en las tareas siguientes.
</t>
      </text>
    </comment>
    <comment authorId="13" xr:uid="{4185c368-c596-470e-aad6-d82822d67fe8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Brandon propone herramientas y arquitectura. Nazaret revisa su relación con el alcance. La selección final se valida en Fase 2.
</t>
      </text>
    </comment>
    <comment authorId="14" xr:uid="{42419a7f-21e8-474b-acd9-dd56bf9beb1f}" ref="C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ejecuta los casos y registra resultados. Brandon revisa y aprueba. Se comprueban los 52 requisitos de la matriz.
</t>
      </text>
    </comment>
    <comment authorId="15" xr:uid="{42d771a8-e1d7-403d-a2e3-87682ffd36ad}" ref="C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Ambos actualizan tareas, bloqueos y revisiones en GitHub Projects. Acuerdan prioridades y próximos pasos cada semana.
</t>
      </text>
    </comment>
    <comment authorId="16" xr:uid="{43c7572c-4df6-4278-b73a-61689f53a265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desarrolla antecedentes, revisión, resumen y proyección F29 descargable. Brandon apoya la integración. Sin envío oficial al SII.
</t>
      </text>
    </comment>
    <comment authorId="17" xr:uid="{47043783-398c-416e-9738-33bfbb2e5c4b}" ref="C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coordina y realiza correcciones. Brandon revisa, aprueba y apoya los cambios técnicos. Se repiten los casos afectados.
</t>
      </text>
    </comment>
    <comment authorId="18" xr:uid="{4812db5a-281a-4ce5-8d24-e2ad351fea76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redacta la definición, el alcance y la factibilidad. Cada integrante completa su autoevaluación.
</t>
      </text>
    </comment>
    <comment authorId="19" xr:uid="{49179e62-2b47-49a9-9e25-3fe7d172d7f8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
</t>
      </text>
    </comment>
    <comment authorId="20" xr:uid="{4a27d0b4-a9e4-4fab-a480-6d045626e047}" ref="C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organiza y aprueba el contenido. Brandon prepara la parte técnica y la demostración. Usan el formato del profesor.
</t>
      </text>
    </comment>
    <comment authorId="21" xr:uid="{4aed0581-10ba-4a5e-89a3-0120def22102}" ref="C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reúne resultados y evidencias. Brandon entrega código, BD y documentación técnica. Ambos presentan el producto.
</t>
      </text>
    </comment>
    <comment authorId="22" xr:uid="{51e6ce74-3f86-4adf-a1d3-2efb8e0149ea}" ref="C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Ambos ensayan la exposición de 15 minutos, la demostración y las preguntas. Nazaret coordina los ajustes.
</t>
      </text>
    </comment>
    <comment authorId="23" xr:uid="{591e81bd-3265-449d-8afa-41a4d839d43c}" ref="C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Ambos presentan el avance, demuestran los módulos disponibles y registran las observaciones del profesor.
</t>
      </text>
    </comment>
    <comment authorId="24" xr:uid="{5aa185fb-c10f-4d2f-a33b-63f1cc25eb50}" ref="C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Nazaret implementa mensajes revisables y exportaciones del flujo validado. Brandon revisa la integración. Sin envío automático por WhatsApp.
</t>
      </text>
    </comment>
    <comment authorId="25" xr:uid="{628db4e4-b545-498a-b908-e716d44d9df0}" ref="C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Nazaret verifica documentos y reflexión final. Brandon revisa repositorio, versión final y archivos técnicos.
</t>
      </text>
    </comment>
    <comment authorId="26" xr:uid="{66f020ca-d246-4290-9870-a42b110fc640}" ref="C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prueba cada entrega parcial. Brandon revisa, aprueba y apoya las correcciones antes de integrar.
</t>
      </text>
    </comment>
    <comment authorId="27" xr:uid="{69ce1a25-c29e-4339-8bdd-6c7f58cfa9a3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desarrolla resumen, vencimientos, checklist, estados, seguimientos y notas internas. Brandon revisa permisos y API.
</t>
      </text>
    </comment>
    <comment authorId="28" xr:uid="{6b688bdc-db33-446a-9b9a-1c9d0c4e281e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Brandon prepara el cronograma inicial. Nazaret aporta información sobre sus tareas.
</t>
      </text>
    </comment>
    <comment authorId="29" xr:uid="{6f2bdeb2-627f-441f-b2fd-c2890eb3db0e}" ref="C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integra objetivos, resultados, pruebas y evidencias en el formato solicitado. Brandon aporta y revisa la parte técnica.
</t>
      </text>
    </comment>
    <comment authorId="30" xr:uid="{73644923-37c6-4584-ad28-9213fe3cd7e0}" ref="C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dirige la validación y TRIBUTEK aprueba. Brandon despliega, verifica respaldos y ejecuta comprobaciones finales.
</t>
      </text>
    </comment>
    <comment authorId="31" xr:uid="{7a7050ef-ef82-4019-8fdc-8565f4f9e216}" ref="C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implementa carga, filtros, consulta, descarga y visibilidad. Nazaret revisa la conexión con el portal.
</t>
      </text>
    </comment>
    <comment authorId="32" xr:uid="{7c62b564-32bc-406b-8437-1433e84b04bb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Brandon define las entidades y relaciones. Nazaret revisa su coherencia con los requisitos.
</t>
      </text>
    </comment>
    <comment authorId="33" xr:uid="{821ca7ea-a35e-45ea-be8c-f701e3e11317}" ref="C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y Brandon defienden el proyecto. Los profesores evalúan. La fecha exacta se ajustará al turno asignado.
</t>
      </text>
    </comment>
    <comment authorId="34" xr:uid="{8844ca00-571e-4883-bac1-96a25492ff60}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Nazaret ajusta crea navegación y componentes comunes. Brandon revisa su conexión con la API.
</t>
      </text>
    </comment>
    <comment authorId="35" xr:uid="{8a5e0834-9ece-4273-8e5a-894333c124d7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Nazaret organiza las responsabilidades. Brandon revisa la distribución del trabajo.
</t>
      </text>
    </comment>
    <comment authorId="36" xr:uid="{9160287b-60ce-459b-9d09-2f16306a2c17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Nazaret prepara las vistas en Canva. Brandon y TRIBUTEK revisan los flujos y la información.
</t>
      </text>
    </comment>
    <comment authorId="37" xr:uid="{921a4c85-5d7c-4974-ba1d-a8b7bb04d166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y Brandon preparan preguntas para conocer la empresa y sus necesidades.
</t>
      </text>
    </comment>
    <comment authorId="38" xr:uid="{969b4c1c-1578-45a7-b454-419debfc21e0}" ref="C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prueba hash, acceso sin sesión, roles, acceso cruzado y protección de notas y auditoría. Nazaret apoya los escenarios.
</t>
      </text>
    </comment>
    <comment authorId="39" xr:uid="{a2a666c7-95ca-4179-aab5-3c8567fb49fc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implementa clientes con RR.HH., trabajadores y documentos laborales. Nazaret revisa las vistas.
</t>
      </text>
    </comment>
    <comment authorId="40" xr:uid="{a3943b50-0366-4f86-bb4a-827807427117}" ref="C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implementa panel, carga, consulta de documentos y gestiones visibles. Brandon revisa el aislamiento entre clientes.
</t>
      </text>
    </comment>
    <comment authorId="41" xr:uid="{b501403a-34f4-4f0b-a1ae-90d148e23e15}" ref="C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prueba recorridos de Administradora y Cliente. Brandon revisa resultados y aprueba los ajustes para pruebas finales.
</t>
      </text>
    </comment>
    <comment authorId="42" xr:uid="{bc641da2-43d3-4dbb-9dcb-3601892a0440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Detalle de aportes en las tareas siguientes.
</t>
      </text>
    </comment>
    <comment authorId="43" xr:uid="{bfb42fd7-4032-49ff-a188-d3111b7df283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implementa inicio y cierre de sesión, cuentas individuales, roles y controles en el servidor. Nazaret revisa los flujos.
</t>
      </text>
    </comment>
    <comment authorId="44" xr:uid="{c420aa7d-b017-46a1-8223-85c8341b6ffa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Brandon implementa registro, búsqueda, ficha, edición, servicios y habilitación de acceso. Nazaret revisa la experiencia de uso.
</t>
      </text>
    </comment>
    <comment authorId="45" xr:uid="{c4b6d04f-412b-4350-a3f7-76804d8178ea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Necesita actualización
PRIORIDAD
ALTA
APORTE
Brandon crea tablas, relaciones, restricciones y migraciones. Nazaret revisa clientes, usuarios y períodos.
</t>
      </text>
    </comment>
    <comment authorId="46" xr:uid="{c672b54f-787c-44fd-be9b-5d80913f1f11}" ref="C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Brandon actualiza fechas de la Gantt. Nazaret mantiene RACI, RF y RNF. Ambos revisan dependencias y cambios de alcance.
</t>
      </text>
    </comment>
    <comment authorId="47" xr:uid="{cbf01572-f0e8-49d5-8af4-d9abaf01a122}" ref="C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Nazaret mide respuesta y prueba Chrome, Edge y Firefox. Brandon revisa resultados técnicos. Se registran datos y condiciones de prueba.
</t>
      </text>
    </comment>
    <comment authorId="48" xr:uid="{d596e93a-5756-454f-ae22-5b33f58d5d3b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define RF, RNF y criterios de aceptación. Brandon y TRIBUTEK aportan observaciones.
</t>
      </text>
    </comment>
    <comment authorId="49" xr:uid="{d91af5ee-1df9-49e9-9371-1c95e66d4ecc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Nazaret prueba recorridos de Administradora y Cliente. Brandon revisa resultados y aprueba los ajustes para pruebas finales.
</t>
      </text>
    </comment>
    <comment authorId="50" xr:uid="{e79e2ec1-e905-4a1c-a4fb-4f61c6dc4b67}" ref="C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
</t>
      </text>
    </comment>
    <comment authorId="51" xr:uid="{edafec7f-70e0-41ce-8189-f9e33df0d4ad}" ref="C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conecta vistas y flujos. Brandon integra API, BD y permisos. Ambos comprueban documentos, períodos y estados.
</t>
      </text>
    </comment>
    <comment authorId="52" xr:uid="{f6a2f75f-365a-4ab6-907b-fb74724c3011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y Brandon presentan la propuesta y registran las observaciones del profesor.
</t>
      </text>
    </comment>
    <comment authorId="53" xr:uid="{f6fb29af-c3e4-4ee8-b297-a02e6a42725f}" ref="C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
</t>
      </text>
    </comment>
    <comment authorId="54" xr:uid="{f8e7ec57-9ae8-4e54-848e-d6b78ac03a89}" ref="C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
</t>
      </text>
    </comment>
    <comment authorId="55" xr:uid="{ffd5d2da-af33-4fe6-a74a-c11fa9ecbf1e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Brandon registra usuario, acción, cliente y fecha, y habilita el historial administrativo. Nazaret revisa su consulta.
</t>
      </text>
    </comment>
  </commentList>
</comments>
</file>

<file path=xl/sharedStrings.xml><?xml version="1.0" encoding="utf-8"?>
<sst xmlns="http://schemas.openxmlformats.org/spreadsheetml/2006/main" count="539" uniqueCount="247">
  <si>
    <t>Gestión de Proyecto con Carta Gantt</t>
  </si>
  <si>
    <t>Nombre del Proyecto</t>
  </si>
  <si>
    <t>Sistema web de gestión para oficina contable TRIBUTEK</t>
  </si>
  <si>
    <t>PROGRESO GENERAL</t>
  </si>
  <si>
    <t>Director(a) del Proyecto</t>
  </si>
  <si>
    <t>Nombre Empresa Cliente</t>
  </si>
  <si>
    <t>Nazaret González</t>
  </si>
  <si>
    <t>Fecha</t>
  </si>
  <si>
    <t>TRIBUTEK</t>
  </si>
  <si>
    <t>PRESENTACIÓN</t>
  </si>
  <si>
    <t>IDENTIFICADOR</t>
  </si>
  <si>
    <t>NOMBRE</t>
  </si>
  <si>
    <t>DUEÑO DE</t>
  </si>
  <si>
    <t>FECHA DE</t>
  </si>
  <si>
    <t>ENTREGA DEL PROYECTO</t>
  </si>
  <si>
    <t>DURACIÓN</t>
  </si>
  <si>
    <t>PORCENTAJE COMPLETADO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</si>
  <si>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</si>
  <si>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</si>
  <si>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</si>
  <si>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</si>
  <si>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</si>
  <si>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</si>
  <si>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</si>
  <si>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</si>
  <si>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</si>
  <si>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</si>
  <si>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</si>
  <si>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</si>
  <si>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</si>
  <si>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</si>
  <si>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</si>
  <si>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</si>
  <si>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</si>
  <si>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TAREA</t>
  </si>
  <si>
    <t>LA TAREA</t>
  </si>
  <si>
    <t>INICIO</t>
  </si>
  <si>
    <t>TÉRMINO</t>
  </si>
  <si>
    <t>EN DÍAS</t>
  </si>
  <si>
    <t>DE LA TAREA</t>
  </si>
  <si>
    <t>L</t>
  </si>
  <si>
    <t>MA</t>
  </si>
  <si>
    <t>MI</t>
  </si>
  <si>
    <t>J</t>
  </si>
  <si>
    <t>V</t>
  </si>
  <si>
    <t>FASE 1: inicio y planificación</t>
  </si>
  <si>
    <t>RESULTADO</t>
  </si>
  <si>
    <t>1.1</t>
  </si>
  <si>
    <t>ACTIVIDAD 1.1</t>
  </si>
  <si>
    <t>1.1.1</t>
  </si>
  <si>
    <t>TAREA 1.1.1</t>
  </si>
  <si>
    <t>SEMANA 18</t>
  </si>
  <si>
    <t>1.2</t>
  </si>
  <si>
    <t>ACTIVIDAD 1.2</t>
  </si>
  <si>
    <t>/EVIDENCIA</t>
  </si>
  <si>
    <t>1.3</t>
  </si>
  <si>
    <t>ACTIVIDAD 1.3</t>
  </si>
  <si>
    <t>1.4</t>
  </si>
  <si>
    <t>ACTIVIDAD 1.4</t>
  </si>
  <si>
    <t>1.5</t>
  </si>
  <si>
    <t>ACTIVIDAD 1.5</t>
  </si>
  <si>
    <t>1.6</t>
  </si>
  <si>
    <t>ACTIVIDAD 1.6</t>
  </si>
  <si>
    <t>FASE 2</t>
  </si>
  <si>
    <t>1</t>
  </si>
  <si>
    <t>Fase 1 - Inicio y planificación</t>
  </si>
  <si>
    <t>Ambos</t>
  </si>
  <si>
    <t>2.1</t>
  </si>
  <si>
    <t>ACTIVIDAD 2.1</t>
  </si>
  <si>
    <t>Resultados del bloque</t>
  </si>
  <si>
    <t>2.2</t>
  </si>
  <si>
    <t>ACTIVIDAD 2.2</t>
  </si>
  <si>
    <t>2.3</t>
  </si>
  <si>
    <t>ACTIVIDAD 2.3</t>
  </si>
  <si>
    <t>2.4</t>
  </si>
  <si>
    <t>ACTIVIDAD 2.4</t>
  </si>
  <si>
    <t>FASE 3</t>
  </si>
  <si>
    <t>3.1</t>
  </si>
  <si>
    <t>ACTIVIDAD 3.1</t>
  </si>
  <si>
    <t>3.2</t>
  </si>
  <si>
    <t>ACTIVIDAD 3.2</t>
  </si>
  <si>
    <t>3.2.1</t>
  </si>
  <si>
    <t>Tarea 3.2.1</t>
  </si>
  <si>
    <t>3.2.2</t>
  </si>
  <si>
    <t>Tarea 3.2.2</t>
  </si>
  <si>
    <t xml:space="preserve"> </t>
  </si>
  <si>
    <t>3.3</t>
  </si>
  <si>
    <t>ACTIVIDAD 3.3</t>
  </si>
  <si>
    <t>3.3.1</t>
  </si>
  <si>
    <t>Tarea 3.3.1</t>
  </si>
  <si>
    <t>FASE 4</t>
  </si>
  <si>
    <t>4.1</t>
  </si>
  <si>
    <t>ACTIVIDAD 4.1</t>
  </si>
  <si>
    <t>4.2</t>
  </si>
  <si>
    <t>ACTIVIDAD 4.2</t>
  </si>
  <si>
    <t>4.3</t>
  </si>
  <si>
    <t>ACTIVIDAD 4.3</t>
  </si>
  <si>
    <t>4.4</t>
  </si>
  <si>
    <t>ACTIVIDAD 4.4</t>
  </si>
  <si>
    <t>5</t>
  </si>
  <si>
    <t>FASE 5</t>
  </si>
  <si>
    <t>5.1</t>
  </si>
  <si>
    <t>ACTIVIDAD 5.1</t>
  </si>
  <si>
    <t>5.2</t>
  </si>
  <si>
    <t>ACTIVIDAD 5.2</t>
  </si>
  <si>
    <t>Introducción a Capstone</t>
  </si>
  <si>
    <t>5.3</t>
  </si>
  <si>
    <t>ACTIVIDAD 5.3</t>
  </si>
  <si>
    <t>Nazaret G.</t>
  </si>
  <si>
    <t>5.4</t>
  </si>
  <si>
    <t>ACTIVIDAD 5.4</t>
  </si>
  <si>
    <t>Asistencia y apuntes</t>
  </si>
  <si>
    <t>Guion de entrevista</t>
  </si>
  <si>
    <t>Reunión - Levantamiento de requerimientos</t>
  </si>
  <si>
    <t>Brandon C.</t>
  </si>
  <si>
    <t>Registro de entrevista</t>
  </si>
  <si>
    <t>Cronograma Gantt inicial</t>
  </si>
  <si>
    <t>Gantt inicial</t>
  </si>
  <si>
    <t>Matriz de responsabilidades RACI</t>
  </si>
  <si>
    <t>Matriz RACI</t>
  </si>
  <si>
    <t>Definición y autoevaluación del Proyecto APT</t>
  </si>
  <si>
    <t>Guía Fase 1 y autoevaluaciones</t>
  </si>
  <si>
    <t>1.7</t>
  </si>
  <si>
    <t>Diseño de interfaces y mockups</t>
  </si>
  <si>
    <t>Mockups en Canva</t>
  </si>
  <si>
    <t>1.8</t>
  </si>
  <si>
    <t>Esquema preliminar de la BD</t>
  </si>
  <si>
    <t>Esquema preliminar de BD</t>
  </si>
  <si>
    <t>1.9</t>
  </si>
  <si>
    <t>Requisitos funcionales y no funcionales</t>
  </si>
  <si>
    <t>Matriz de trazabilidad RF/RNF</t>
  </si>
  <si>
    <t>1.10</t>
  </si>
  <si>
    <t>Repositorio y tablero Kanban</t>
  </si>
  <si>
    <t>GitHub y tablero Kanban</t>
  </si>
  <si>
    <t>1.11</t>
  </si>
  <si>
    <t>Preparación de evidencias de Fase 1</t>
  </si>
  <si>
    <t>PPT y evidencias Fase 1</t>
  </si>
  <si>
    <t>1.12</t>
  </si>
  <si>
    <t>Plan de trabajo tecnológico preliminar</t>
  </si>
  <si>
    <t>Plan tecnológico preliminar</t>
  </si>
  <si>
    <t>1.13</t>
  </si>
  <si>
    <t>Exposición grupal del proyecto</t>
  </si>
  <si>
    <t>Presentación Fase 1</t>
  </si>
  <si>
    <t>2</t>
  </si>
  <si>
    <t>Fase 2 - Diseño y plataforma base</t>
  </si>
  <si>
    <t>Reunión 2 - Validación de alcance y flujos</t>
  </si>
  <si>
    <t>Acta y requisitos revisados</t>
  </si>
  <si>
    <t>Diseño de arquitectura y selección tecnológica</t>
  </si>
  <si>
    <t>Diseño de arquitectura</t>
  </si>
  <si>
    <t>Modelo definitivo y configuración de PostgreSQL</t>
  </si>
  <si>
    <t>BD y migraciones</t>
  </si>
  <si>
    <t>Autenticación, cuentas y permisos</t>
  </si>
  <si>
    <t>Acceso y roles operativos</t>
  </si>
  <si>
    <t>2.5</t>
  </si>
  <si>
    <t>Ajuste de interfaces y estructura del frontend</t>
  </si>
  <si>
    <t>Interfaces y componentes</t>
  </si>
  <si>
    <t>2.6</t>
  </si>
  <si>
    <t>Plan de pruebas y datos de ensayo</t>
  </si>
  <si>
    <t>Casos y datos de prueba</t>
  </si>
  <si>
    <t>3</t>
  </si>
  <si>
    <t>Fase 2 - Módulos de gestión</t>
  </si>
  <si>
    <t>Gestión de clientes, servicios y acceso web</t>
  </si>
  <si>
    <t>Clientes y servicios operativos</t>
  </si>
  <si>
    <t>Gestión documental y visibilidad</t>
  </si>
  <si>
    <t>Gestión documental</t>
  </si>
  <si>
    <t>Panel, dashboard y seguimiento mensual</t>
  </si>
  <si>
    <t>Panel y seguimiento</t>
  </si>
  <si>
    <t>3.4</t>
  </si>
  <si>
    <t>Cobranza, pagos y abonos</t>
  </si>
  <si>
    <t>Cobranza y saldos</t>
  </si>
  <si>
    <t>3.5</t>
  </si>
  <si>
    <t>Antecedentes, resumen contable y proyección F29</t>
  </si>
  <si>
    <t>Contabilidad y apoyo F29</t>
  </si>
  <si>
    <t>3.6</t>
  </si>
  <si>
    <t>Recursos Humanos y documentos laborales (actividad descartada)</t>
  </si>
  <si>
    <t>Módulo RR.HH.</t>
  </si>
  <si>
    <t>4</t>
  </si>
  <si>
    <t>Fase 2 - Portal e integración</t>
  </si>
  <si>
    <t>Portal Cliente y entrega de antecedentes</t>
  </si>
  <si>
    <t>Portal Cliente</t>
  </si>
  <si>
    <t>Trazabilidad y consulta de auditoría</t>
  </si>
  <si>
    <t>Auditoría e historial</t>
  </si>
  <si>
    <t>Preparación de mensajes y exportación a Excel</t>
  </si>
  <si>
    <t>Mensajes y exportaciones</t>
  </si>
  <si>
    <t>Integración de módulos y Portal Cliente</t>
  </si>
  <si>
    <t>Sistema integrado</t>
  </si>
  <si>
    <t>4.5</t>
  </si>
  <si>
    <t>Respaldo de BD y archivos</t>
  </si>
  <si>
    <t>Respaldo y prueba de recuperación</t>
  </si>
  <si>
    <t>4.6</t>
  </si>
  <si>
    <t>Revisión de flujos completos por rol</t>
  </si>
  <si>
    <t>Pruebas de integración</t>
  </si>
  <si>
    <t>Fase 2 - Pruebas y entrega</t>
  </si>
  <si>
    <t>Pruebas funcionales contra RF y RNF</t>
  </si>
  <si>
    <t>Resultados de pruebas RF/RNF</t>
  </si>
  <si>
    <t>Pruebas de seguridad y permisos</t>
  </si>
  <si>
    <t>Evidencia de seguridad</t>
  </si>
  <si>
    <t>Pruebas de rendimiento, navegadores e interfaz</t>
  </si>
  <si>
    <t>Mediciones y compatibilidad</t>
  </si>
  <si>
    <t>Corrección de errores y repetición de pruebas</t>
  </si>
  <si>
    <t>Incidencias resueltas y pruebas</t>
  </si>
  <si>
    <t>5.5</t>
  </si>
  <si>
    <t>Validación con TRIBUTEK y despliegue</t>
  </si>
  <si>
    <t>Acta y sistema desplegado</t>
  </si>
  <si>
    <t>5.6</t>
  </si>
  <si>
    <t>Entrega del sistema - Semana 15</t>
  </si>
  <si>
    <t>Sistema y entrega Fase 2</t>
  </si>
  <si>
    <t>6</t>
  </si>
  <si>
    <t>Fase 3 - Presentación y cierre</t>
  </si>
  <si>
    <t>6.1</t>
  </si>
  <si>
    <t>Consolidación de documentación técnica</t>
  </si>
  <si>
    <t>Documentación técnica final</t>
  </si>
  <si>
    <t>6.2</t>
  </si>
  <si>
    <t>Informe final y evidencias del proyecto</t>
  </si>
  <si>
    <t>Informe final Capstone</t>
  </si>
  <si>
    <t>6.3</t>
  </si>
  <si>
    <t>Preparación de presentación final</t>
  </si>
  <si>
    <t>PPT y demostración final</t>
  </si>
  <si>
    <t>6.4</t>
  </si>
  <si>
    <t>Ensayo de defensa y demostración</t>
  </si>
  <si>
    <t>Ensayo y guion de exposición</t>
  </si>
  <si>
    <t>6.5</t>
  </si>
  <si>
    <t>Defensa final - Semanas 17 y 18</t>
  </si>
  <si>
    <t>Defensa y evaluación final</t>
  </si>
  <si>
    <t>6.6</t>
  </si>
  <si>
    <t>Cierre y entrega de evidencias finales</t>
  </si>
  <si>
    <t>Repositorio y cierre Fase 3</t>
  </si>
  <si>
    <t>7</t>
  </si>
  <si>
    <t>Seguimiento transversal</t>
  </si>
  <si>
    <t>7.1</t>
  </si>
  <si>
    <t>Seguimiento semanal del tablero Kanban</t>
  </si>
  <si>
    <t>Tablero y registro de acuerdos</t>
  </si>
  <si>
    <t>7.2</t>
  </si>
  <si>
    <t>Actualización de Gantt, RACI y trazabilidad</t>
  </si>
  <si>
    <t>Planificación y matrices vigentes</t>
  </si>
  <si>
    <t>7.3</t>
  </si>
  <si>
    <t>Registro de evidencias y reflexión individual</t>
  </si>
  <si>
    <t>Evidencias y diarios de reflexión</t>
  </si>
  <si>
    <t>7.4</t>
  </si>
  <si>
    <t>Pruebas y ajustes por cada módulo</t>
  </si>
  <si>
    <t>Pruebas e incidencias por módulo</t>
  </si>
  <si>
    <t>7.5</t>
  </si>
  <si>
    <t>Evaluación de avance - Semana 10</t>
  </si>
  <si>
    <t>Informe y demostración de avance</t>
  </si>
  <si>
    <t>7.6</t>
  </si>
  <si>
    <t>Documentación técnica durante el desarrollo</t>
  </si>
  <si>
    <t>Documentación técnica actualizada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</si>
</sst>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&quot;/&quot;mm&quot;/&quot;yy"/>
    <numFmt numFmtId="165" formatCode="[$-F800]dddd\,\ mmmm\ dd\,\ yyyy"/>
    <numFmt numFmtId="166" formatCode="d/mm/yy"/>
    <numFmt numFmtId="167" formatCode="D/M/YYYY"/>
    <numFmt numFmtId="168" formatCode=";;;"/>
    <numFmt numFmtId="169" formatCode="d/m/yyyy"/>
    <numFmt numFmtId="170" formatCode="mm/dd/yy"/>
  </numFmts>
  <fonts count="17">
    <font>
      <sz val="12.0"/>
      <color theme="1"/>
      <name val="Corbel"/>
      <scheme val="minor"/>
    </font>
    <font>
      <sz val="10.0"/>
      <color theme="1"/>
      <name val="Century Gothic"/>
    </font>
    <font>
      <b/>
      <sz val="20.0"/>
      <color rgb="FF7F7F7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>
      <b/>
      <sz val="9.0"/>
      <color rgb="FFFFFFFF"/>
      <name val="Century Gothic"/>
    </font>
    <font>
      <b/>
      <sz val="10.0"/>
      <color theme="1"/>
      <name val="Century Gothic"/>
    </font>
    <font>
      <b/>
      <sz val="10.0"/>
      <color rgb="FF2F5496"/>
      <name val="Century Gothic"/>
    </font>
    <font>
      <b/>
      <sz val="10.0"/>
      <color theme="0"/>
      <name val="Century Gothic"/>
    </font>
    <font/>
    <font>
      <sz val="9.0"/>
      <color theme="1"/>
      <name val="Century Gothic"/>
    </font>
    <font>
      <sz val="12.0"/>
      <color theme="1"/>
      <name val="Corbel"/>
    </font>
    <font>
      <color theme="1"/>
      <name val="Corbel"/>
      <scheme val="minor"/>
    </font>
    <font>
      <sz val="9.0"/>
      <color rgb="FF666666"/>
      <name val="Century Gothic"/>
    </font>
    <font>
      <b/>
      <sz val="15.0"/>
      <color rgb="FF000000"/>
      <name val="Arial"/>
    </font>
    <font>
      <strike/>
      <sz val="9.0"/>
      <color theme="1"/>
      <name val="Century Gothic"/>
    </font>
    <font>
      <sz val="9.0"/>
      <color rgb="FF000000"/>
      <name val="Century Gothic"/>
    </font>
  </fonts>
  <fills count="3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44546A"/>
        <bgColor rgb="FF44546A"/>
      </patternFill>
    </fill>
    <fill>
      <patternFill patternType="solid">
        <fgColor rgb="FFE2F0D9"/>
        <bgColor rgb="FFE2F0D9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833C0B"/>
        <bgColor rgb="FF833C0B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C55A11"/>
        <bgColor rgb="FFC55A11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rgb="FFE7ECF3"/>
        <bgColor rgb="FFE7ECF3"/>
      </patternFill>
    </fill>
    <fill>
      <patternFill patternType="solid">
        <fgColor rgb="FFDCE6F1"/>
        <bgColor rgb="FFDCE6F1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67">
    <border/>
    <border>
      <left/>
      <right/>
      <top/>
      <bottom/>
    </border>
    <border>
      <left style="thin">
        <color rgb="FFA5A5A5"/>
      </left>
      <right style="hair">
        <color rgb="FFA5A5A5"/>
      </right>
      <top style="thin">
        <color rgb="FFA5A5A5"/>
      </top>
      <bottom/>
    </border>
    <border>
      <left/>
      <right style="thin">
        <color rgb="FFA5A5A5"/>
      </right>
      <top style="thin">
        <color rgb="FFA5A5A5"/>
      </top>
      <bottom/>
    </border>
    <border>
      <left style="thin">
        <color rgb="FFA5A5A5"/>
      </left>
      <right style="hair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hair">
        <color rgb="FFA5A5A5"/>
      </right>
      <top/>
      <bottom style="double">
        <color rgb="FFA5A5A5"/>
      </bottom>
    </border>
    <border>
      <right style="thin">
        <color rgb="FFA5A5A5"/>
      </right>
      <bottom style="double">
        <color rgb="FFA5A5A5"/>
      </bottom>
    </border>
    <border>
      <left style="thin">
        <color rgb="FFA5A5A5"/>
      </left>
      <right style="hair">
        <color rgb="FFA5A5A5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BFBFBF"/>
      </left>
      <top style="thin">
        <color rgb="FFBFBFBF"/>
      </top>
    </border>
    <border>
      <left style="thin">
        <color rgb="FFA5A5A5"/>
      </left>
      <right style="hair">
        <color rgb="FFA5A5A5"/>
      </right>
      <top style="thin">
        <color rgb="FFBFBFBF"/>
      </top>
      <bottom style="double">
        <color rgb="FFA5A5A5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left style="thin">
        <color rgb="FFA5A5A5"/>
      </left>
      <right/>
      <top/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A5A5A5"/>
      </bottom>
    </border>
    <border>
      <left style="medium">
        <color rgb="FFBFBFBF"/>
      </left>
      <top style="medium">
        <color rgb="FFBFBFBF"/>
      </top>
      <bottom style="medium">
        <color rgb="FFA5A5A5"/>
      </bottom>
    </border>
    <border>
      <top style="medium">
        <color rgb="FFBFBFBF"/>
      </top>
      <bottom style="medium">
        <color rgb="FFA5A5A5"/>
      </bottom>
    </border>
    <border>
      <right style="medium">
        <color rgb="FFBFBFBF"/>
      </right>
      <top style="medium">
        <color rgb="FFBFBFBF"/>
      </top>
      <bottom style="medium">
        <color rgb="FFA5A5A5"/>
      </bottom>
    </border>
    <border>
      <left style="thin">
        <color rgb="FFA5A5A5"/>
      </left>
      <right/>
      <top style="thin">
        <color rgb="FFA5A5A5"/>
      </top>
      <bottom/>
    </border>
    <border>
      <left style="thin">
        <color rgb="FFBFBFBF"/>
      </left>
      <right style="thin">
        <color rgb="FFBFBFBF"/>
      </right>
      <top style="thin">
        <color rgb="FFA5A5A5"/>
      </top>
      <bottom/>
    </border>
    <border>
      <right/>
      <top style="medium">
        <color rgb="FFBFBFBF"/>
      </top>
      <bottom style="medium">
        <color rgb="FFA5A5A5"/>
      </bottom>
    </border>
    <border>
      <left style="medium">
        <color rgb="FFBFBFBF"/>
      </left>
      <right/>
      <top style="medium">
        <color rgb="FFBFBFBF"/>
      </top>
      <bottom style="medium">
        <color rgb="FFA5A5A5"/>
      </bottom>
    </border>
    <border>
      <left style="medium">
        <color rgb="FFA5A5A5"/>
      </left>
      <right/>
      <top style="medium">
        <color rgb="FFA5A5A5"/>
      </top>
      <bottom/>
    </border>
    <border>
      <left style="thin">
        <color rgb="FFA5A5A5"/>
      </left>
      <right style="thin">
        <color rgb="FFA5A5A5"/>
      </right>
      <top style="medium">
        <color rgb="FFA5A5A5"/>
      </top>
      <bottom/>
    </border>
    <border>
      <left style="thin">
        <color rgb="FFBFBFBF"/>
      </left>
      <bottom style="thin">
        <color rgb="FFBFBFBF"/>
      </bottom>
    </border>
    <border>
      <left style="thin">
        <color rgb="FFA5A5A5"/>
      </left>
      <right style="hair">
        <color rgb="FFA5A5A5"/>
      </right>
      <top style="medium">
        <color rgb="FFA5A5A5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medium">
        <color rgb="FFA5A5A5"/>
      </right>
      <top style="medium">
        <color rgb="FFA5A5A5"/>
      </top>
      <bottom/>
    </border>
    <border>
      <left/>
      <top style="medium">
        <color rgb="FFA5A5A5"/>
      </top>
      <bottom style="thin">
        <color rgb="FFBFBFBF"/>
      </bottom>
    </border>
    <border>
      <top style="medium">
        <color rgb="FFA5A5A5"/>
      </top>
      <bottom style="thin">
        <color rgb="FFBFBFBF"/>
      </bottom>
    </border>
    <border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top style="medium">
        <color rgb="FFA5A5A5"/>
      </top>
      <bottom style="thin">
        <color rgb="FFBFBFBF"/>
      </bottom>
    </border>
    <border>
      <right style="medium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/>
      <top/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double">
        <color rgb="FFA5A5A5"/>
      </bottom>
    </border>
    <border>
      <left/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medium">
        <color rgb="FFA5A5A5"/>
      </right>
      <top/>
      <bottom style="double">
        <color rgb="FFA5A5A5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A5A5A5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hair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/>
      <top style="medium">
        <color rgb="FFA5A5A5"/>
      </top>
      <bottom/>
    </border>
    <border>
      <left style="medium">
        <color rgb="FFA5A5A5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/>
      <top/>
      <bottom style="double">
        <color rgb="FFA5A5A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medium">
        <color rgb="FFA5A5A5"/>
      </bottom>
    </border>
    <border>
      <left/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A5A5A5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000000"/>
      </left>
    </border>
    <border>
      <left style="thin">
        <color rgb="FFD9D9D9"/>
      </left>
      <right style="thin">
        <color rgb="FFD9D9D9"/>
      </right>
      <top style="thin">
        <color rgb="FFBFBFBF"/>
      </top>
      <bottom style="medium">
        <color rgb="FFA5A5A5"/>
      </bottom>
    </border>
    <border>
      <left style="thin">
        <color rgb="FFD9D9D9"/>
      </left>
      <right style="thin">
        <color rgb="FFBFBFBF"/>
      </right>
      <top style="thin">
        <color rgb="FFBFBFBF"/>
      </top>
      <bottom style="medium">
        <color rgb="FFA5A5A5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vertical="center"/>
    </xf>
    <xf borderId="1" fillId="2" fontId="2" numFmtId="164" xfId="0" applyAlignment="1" applyBorder="1" applyFill="1" applyFont="1" applyNumberFormat="1">
      <alignment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3" numFmtId="0" xfId="0" applyFont="1"/>
    <xf borderId="2" fillId="3" fontId="4" numFmtId="0" xfId="0" applyAlignment="1" applyBorder="1" applyFill="1" applyFont="1">
      <alignment horizontal="left" shrinkToFit="0" vertical="center" wrapText="1"/>
    </xf>
    <xf borderId="3" fillId="4" fontId="1" numFmtId="0" xfId="0" applyAlignment="1" applyBorder="1" applyFill="1" applyFont="1">
      <alignment horizontal="left" shrinkToFit="0" vertical="center" wrapText="1"/>
    </xf>
    <xf borderId="0" fillId="0" fontId="3" numFmtId="164" xfId="0" applyFont="1" applyNumberFormat="1"/>
    <xf borderId="1" fillId="5" fontId="5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left" shrinkToFit="0" vertical="center" wrapText="1"/>
    </xf>
    <xf borderId="5" fillId="4" fontId="1" numFmtId="0" xfId="0" applyAlignment="1" applyBorder="1" applyFill="1" applyFont="1">
      <alignment horizontal="left" shrinkToFit="0" vertical="center" wrapText="1"/>
    </xf>
    <xf borderId="1" fillId="6" fontId="6" numFmtId="9" xfId="0" applyAlignment="1" applyBorder="1" applyFill="1" applyFont="1" applyNumberFormat="1">
      <alignment horizontal="center" vertical="center"/>
    </xf>
    <xf borderId="6" fillId="3" fontId="4" numFmtId="0" xfId="0" applyAlignment="1" applyBorder="1" applyFill="1" applyFont="1">
      <alignment horizontal="left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8" fillId="3" fontId="4" numFmtId="0" xfId="0" applyAlignment="1" applyBorder="1" applyFill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10" fillId="0" fontId="3" numFmtId="0" xfId="0" applyBorder="1" applyFont="1"/>
    <xf borderId="11" fillId="3" fontId="4" numFmtId="0" xfId="0" applyAlignment="1" applyBorder="1" applyFill="1" applyFont="1">
      <alignment horizontal="left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4" fillId="3" fontId="4" numFmtId="0" xfId="0" applyAlignment="1" applyBorder="1" applyFill="1" applyFont="1">
      <alignment horizontal="left" vertical="center"/>
    </xf>
    <xf borderId="5" fillId="4" fontId="1" numFmtId="165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7" numFmtId="0" xfId="0" applyAlignment="1" applyFont="1">
      <alignment horizontal="left" vertical="center"/>
    </xf>
    <xf borderId="13" fillId="0" fontId="3" numFmtId="0" xfId="0" applyBorder="1" applyFont="1"/>
    <xf borderId="14" fillId="3" fontId="4" numFmtId="0" xfId="0" applyAlignment="1" applyBorder="1" applyFill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6" fillId="7" fontId="8" numFmtId="0" xfId="0" applyAlignment="1" applyBorder="1" applyFill="1" applyFont="1">
      <alignment horizontal="center" vertical="center"/>
    </xf>
    <xf borderId="17" fillId="0" fontId="9" numFmtId="0" xfId="0" applyBorder="1" applyFont="1"/>
    <xf borderId="18" fillId="0" fontId="9" numFmtId="0" xfId="0" applyBorder="1" applyFont="1"/>
    <xf borderId="16" fillId="8" fontId="8" numFmtId="0" xfId="0" applyAlignment="1" applyBorder="1" applyFill="1" applyFont="1">
      <alignment horizontal="center" vertical="center"/>
    </xf>
    <xf borderId="19" fillId="3" fontId="4" numFmtId="0" xfId="0" applyAlignment="1" applyBorder="1" applyFill="1" applyFont="1">
      <alignment horizontal="left" vertical="center"/>
    </xf>
    <xf borderId="16" fillId="9" fontId="8" numFmtId="0" xfId="0" applyAlignment="1" applyBorder="1" applyFill="1" applyFont="1">
      <alignment horizontal="center" vertical="center"/>
    </xf>
    <xf borderId="20" fillId="4" fontId="1" numFmtId="166" xfId="0" applyAlignment="1" applyBorder="1" applyFill="1" applyFont="1" applyNumberFormat="1">
      <alignment horizontal="center" shrinkToFit="0" vertical="center" wrapText="1"/>
    </xf>
    <xf borderId="16" fillId="10" fontId="8" numFmtId="0" xfId="0" applyAlignment="1" applyBorder="1" applyFill="1" applyFont="1">
      <alignment horizontal="center" vertical="center"/>
    </xf>
    <xf borderId="16" fillId="11" fontId="8" numFmtId="0" xfId="0" applyAlignment="1" applyBorder="1" applyFill="1" applyFont="1">
      <alignment horizontal="center" vertical="center"/>
    </xf>
    <xf borderId="21" fillId="0" fontId="9" numFmtId="0" xfId="0" applyBorder="1" applyFont="1"/>
    <xf borderId="22" fillId="11" fontId="8" numFmtId="0" xfId="0" applyAlignment="1" applyBorder="1" applyFill="1" applyFont="1">
      <alignment vertical="center"/>
    </xf>
    <xf borderId="23" fillId="12" fontId="4" numFmtId="0" xfId="0" applyAlignment="1" applyBorder="1" applyFill="1" applyFont="1">
      <alignment horizontal="left" shrinkToFit="0" wrapText="1"/>
    </xf>
    <xf borderId="24" fillId="12" fontId="4" numFmtId="0" xfId="0" applyAlignment="1" applyBorder="1" applyFill="1" applyFont="1">
      <alignment horizontal="left" shrinkToFit="0" wrapText="1"/>
    </xf>
    <xf borderId="25" fillId="0" fontId="3" numFmtId="0" xfId="0" applyBorder="1" applyFont="1"/>
    <xf borderId="26" fillId="12" fontId="4" numFmtId="0" xfId="0" applyAlignment="1" applyBorder="1" applyFill="1" applyFont="1">
      <alignment horizontal="center" shrinkToFit="0" wrapText="1"/>
    </xf>
    <xf borderId="27" fillId="13" fontId="4" numFmtId="0" xfId="0" applyAlignment="1" applyBorder="1" applyFill="1" applyFont="1">
      <alignment horizontal="left" shrinkToFit="0" vertical="center" wrapText="1"/>
    </xf>
    <xf borderId="28" fillId="12" fontId="4" numFmtId="0" xfId="0" applyAlignment="1" applyBorder="1" applyFill="1" applyFont="1">
      <alignment horizontal="center" shrinkToFit="0" wrapText="1"/>
    </xf>
    <xf borderId="27" fillId="0" fontId="1" numFmtId="167" xfId="0" applyAlignment="1" applyBorder="1" applyFont="1" applyNumberFormat="1">
      <alignment horizontal="center" shrinkToFit="0" vertical="center" wrapText="1"/>
    </xf>
    <xf borderId="24" fillId="12" fontId="4" numFmtId="0" xfId="0" applyAlignment="1" applyBorder="1" applyFill="1" applyFont="1">
      <alignment horizontal="center" shrinkToFit="0" wrapText="1"/>
    </xf>
    <xf borderId="0" fillId="0" fontId="10" numFmtId="0" xfId="0" applyAlignment="1" applyFont="1">
      <alignment shrinkToFit="0" vertical="center" wrapText="1"/>
    </xf>
    <xf borderId="29" fillId="12" fontId="4" numFmtId="0" xfId="0" applyAlignment="1" applyBorder="1" applyFill="1" applyFont="1">
      <alignment horizontal="center" shrinkToFit="0" wrapText="1"/>
    </xf>
    <xf borderId="0" fillId="0" fontId="10" numFmtId="164" xfId="0" applyAlignment="1" applyFont="1" applyNumberFormat="1">
      <alignment shrinkToFit="0" vertical="center" wrapText="1"/>
    </xf>
    <xf borderId="30" fillId="5" fontId="8" numFmtId="0" xfId="0" applyAlignment="1" applyBorder="1" applyFill="1" applyFont="1">
      <alignment horizontal="center" vertical="center"/>
    </xf>
    <xf borderId="31" fillId="0" fontId="9" numFmtId="0" xfId="0" applyBorder="1" applyFont="1"/>
    <xf borderId="32" fillId="0" fontId="9" numFmtId="0" xfId="0" applyBorder="1" applyFont="1"/>
    <xf borderId="0" fillId="0" fontId="3" numFmtId="168" xfId="0" applyFont="1" applyNumberFormat="1"/>
    <xf borderId="33" fillId="14" fontId="8" numFmtId="0" xfId="0" applyAlignment="1" applyBorder="1" applyFill="1" applyFont="1">
      <alignment horizontal="center" vertical="center"/>
    </xf>
    <xf borderId="33" fillId="15" fontId="8" numFmtId="0" xfId="0" applyAlignment="1" applyBorder="1" applyFill="1" applyFont="1">
      <alignment horizontal="center" vertical="center"/>
    </xf>
    <xf borderId="33" fillId="16" fontId="8" numFmtId="0" xfId="0" applyAlignment="1" applyBorder="1" applyFill="1" applyFont="1">
      <alignment horizontal="center" vertical="center"/>
    </xf>
    <xf borderId="34" fillId="0" fontId="9" numFmtId="0" xfId="0" applyBorder="1" applyFont="1"/>
    <xf borderId="33" fillId="17" fontId="8" numFmtId="0" xfId="0" applyAlignment="1" applyBorder="1" applyFill="1" applyFont="1">
      <alignment horizontal="center" vertical="center"/>
    </xf>
    <xf borderId="35" fillId="17" fontId="8" numFmtId="0" xfId="0" applyAlignment="1" applyBorder="1" applyFill="1" applyFont="1">
      <alignment vertical="center"/>
    </xf>
    <xf borderId="36" fillId="12" fontId="4" numFmtId="0" xfId="0" applyAlignment="1" applyBorder="1" applyFill="1" applyFont="1">
      <alignment horizontal="left" shrinkToFit="0" vertical="top" wrapText="1"/>
    </xf>
    <xf borderId="37" fillId="12" fontId="4" numFmtId="0" xfId="0" applyAlignment="1" applyBorder="1" applyFill="1" applyFont="1">
      <alignment horizontal="left" shrinkToFit="0" vertical="top" wrapText="1"/>
    </xf>
    <xf borderId="6" fillId="12" fontId="4" numFmtId="0" xfId="0" applyAlignment="1" applyBorder="1" applyFill="1" applyFont="1">
      <alignment horizontal="center" shrinkToFit="0" vertical="top" wrapText="1"/>
    </xf>
    <xf borderId="38" fillId="12" fontId="4" numFmtId="0" xfId="0" applyAlignment="1" applyBorder="1" applyFill="1" applyFont="1">
      <alignment horizontal="center" shrinkToFit="0" vertical="top" wrapText="1"/>
    </xf>
    <xf borderId="37" fillId="12" fontId="4" numFmtId="0" xfId="0" applyAlignment="1" applyBorder="1" applyFill="1" applyFont="1">
      <alignment horizontal="center" shrinkToFit="0" vertical="top" wrapText="1"/>
    </xf>
    <xf borderId="39" fillId="12" fontId="4" numFmtId="0" xfId="0" applyAlignment="1" applyBorder="1" applyFill="1" applyFont="1">
      <alignment horizontal="center" shrinkToFit="0" vertical="top" wrapText="1"/>
    </xf>
    <xf borderId="40" fillId="13" fontId="6" numFmtId="0" xfId="0" applyAlignment="1" applyBorder="1" applyFill="1" applyFont="1">
      <alignment horizontal="center" vertical="center"/>
    </xf>
    <xf borderId="41" fillId="13" fontId="6" numFmtId="0" xfId="0" applyAlignment="1" applyBorder="1" applyFill="1" applyFont="1">
      <alignment horizontal="center" vertical="center"/>
    </xf>
    <xf borderId="42" fillId="18" fontId="6" numFmtId="0" xfId="0" applyAlignment="1" applyBorder="1" applyFill="1" applyFont="1">
      <alignment horizontal="center" vertical="center"/>
    </xf>
    <xf borderId="41" fillId="18" fontId="6" numFmtId="0" xfId="0" applyAlignment="1" applyBorder="1" applyFill="1" applyFont="1">
      <alignment horizontal="center" vertical="center"/>
    </xf>
    <xf borderId="42" fillId="19" fontId="6" numFmtId="0" xfId="0" applyAlignment="1" applyBorder="1" applyFill="1" applyFont="1">
      <alignment horizontal="center" vertical="center"/>
    </xf>
    <xf borderId="41" fillId="19" fontId="6" numFmtId="0" xfId="0" applyAlignment="1" applyBorder="1" applyFill="1" applyFont="1">
      <alignment horizontal="center" vertical="center"/>
    </xf>
    <xf borderId="42" fillId="20" fontId="6" numFmtId="0" xfId="0" applyAlignment="1" applyBorder="1" applyFill="1" applyFont="1">
      <alignment horizontal="center" vertical="center"/>
    </xf>
    <xf borderId="0" fillId="0" fontId="11" numFmtId="168" xfId="0" applyFont="1" applyNumberFormat="1"/>
    <xf borderId="41" fillId="20" fontId="6" numFmtId="0" xfId="0" applyAlignment="1" applyBorder="1" applyFill="1" applyFont="1">
      <alignment horizontal="center" vertical="center"/>
    </xf>
    <xf borderId="42" fillId="21" fontId="6" numFmtId="0" xfId="0" applyAlignment="1" applyBorder="1" applyFill="1" applyFont="1">
      <alignment horizontal="center" vertical="center"/>
    </xf>
    <xf borderId="0" fillId="0" fontId="7" numFmtId="164" xfId="0" applyAlignment="1" applyFont="1" applyNumberFormat="1">
      <alignment horizontal="left" vertical="center"/>
    </xf>
    <xf borderId="41" fillId="21" fontId="6" numFmtId="0" xfId="0" applyAlignment="1" applyBorder="1" applyFill="1" applyFont="1">
      <alignment horizontal="center" vertical="center"/>
    </xf>
    <xf borderId="43" fillId="4" fontId="1" numFmtId="49" xfId="0" applyAlignment="1" applyBorder="1" applyFill="1" applyFont="1" applyNumberFormat="1">
      <alignment horizontal="left" vertical="center"/>
    </xf>
    <xf borderId="44" fillId="12" fontId="1" numFmtId="0" xfId="0" applyAlignment="1" applyBorder="1" applyFill="1" applyFont="1">
      <alignment horizontal="left" vertical="center"/>
    </xf>
    <xf borderId="45" fillId="12" fontId="1" numFmtId="0" xfId="0" applyAlignment="1" applyBorder="1" applyFill="1" applyFont="1">
      <alignment horizontal="left" vertical="center"/>
    </xf>
    <xf borderId="46" fillId="12" fontId="1" numFmtId="169" xfId="0" applyAlignment="1" applyBorder="1" applyFill="1" applyFont="1" applyNumberFormat="1">
      <alignment horizontal="center" vertical="center"/>
    </xf>
    <xf borderId="47" fillId="12" fontId="1" numFmtId="169" xfId="0" applyAlignment="1" applyBorder="1" applyFill="1" applyFont="1" applyNumberFormat="1">
      <alignment horizontal="center" vertical="center"/>
    </xf>
    <xf borderId="45" fillId="12" fontId="1" numFmtId="1" xfId="0" applyAlignment="1" applyBorder="1" applyFill="1" applyFont="1" applyNumberFormat="1">
      <alignment horizontal="center" vertical="center"/>
    </xf>
    <xf borderId="48" fillId="12" fontId="6" numFmtId="9" xfId="0" applyAlignment="1" applyBorder="1" applyFill="1" applyFont="1" applyNumberFormat="1">
      <alignment horizontal="center" vertical="center"/>
    </xf>
    <xf borderId="49" fillId="12" fontId="1" numFmtId="0" xfId="0" applyBorder="1" applyFill="1" applyFont="1"/>
    <xf borderId="27" fillId="12" fontId="1" numFmtId="0" xfId="0" applyBorder="1" applyFill="1" applyFont="1"/>
    <xf borderId="50" fillId="12" fontId="1" numFmtId="0" xfId="0" applyBorder="1" applyFill="1" applyFont="1"/>
    <xf borderId="26" fillId="12" fontId="4" numFmtId="164" xfId="0" applyAlignment="1" applyBorder="1" applyFill="1" applyFont="1" applyNumberFormat="1">
      <alignment horizontal="center" shrinkToFit="0" wrapText="1"/>
    </xf>
    <xf borderId="28" fillId="12" fontId="4" numFmtId="164" xfId="0" applyAlignment="1" applyBorder="1" applyFill="1" applyFont="1" applyNumberFormat="1">
      <alignment horizontal="center" shrinkToFit="0" wrapText="1"/>
    </xf>
    <xf borderId="51" fillId="12" fontId="4" numFmtId="0" xfId="0" applyAlignment="1" applyBorder="1" applyFill="1" applyFont="1">
      <alignment horizontal="center" shrinkToFit="0" wrapText="1"/>
    </xf>
    <xf borderId="52" fillId="4" fontId="1" numFmtId="49" xfId="0" applyAlignment="1" applyBorder="1" applyFill="1" applyFont="1" applyNumberFormat="1">
      <alignment horizontal="left" vertical="center"/>
    </xf>
    <xf borderId="50" fillId="0" fontId="1" numFmtId="0" xfId="0" applyAlignment="1" applyBorder="1" applyFont="1">
      <alignment horizontal="left" vertical="center"/>
    </xf>
    <xf borderId="27" fillId="0" fontId="1" numFmtId="0" xfId="0" applyAlignment="1" applyBorder="1" applyFont="1">
      <alignment horizontal="left" vertical="center"/>
    </xf>
    <xf borderId="53" fillId="0" fontId="1" numFmtId="170" xfId="0" applyAlignment="1" applyBorder="1" applyFont="1" applyNumberFormat="1">
      <alignment horizontal="center" vertical="center"/>
    </xf>
    <xf borderId="27" fillId="4" fontId="1" numFmtId="1" xfId="0" applyAlignment="1" applyBorder="1" applyFill="1" applyFont="1" applyNumberFormat="1">
      <alignment horizontal="center" vertical="center"/>
    </xf>
    <xf borderId="54" fillId="0" fontId="6" numFmtId="9" xfId="0" applyAlignment="1" applyBorder="1" applyFont="1" applyNumberFormat="1">
      <alignment horizontal="center" vertical="center"/>
    </xf>
    <xf borderId="55" fillId="0" fontId="1" numFmtId="0" xfId="0" applyBorder="1" applyFont="1"/>
    <xf borderId="27" fillId="0" fontId="1" numFmtId="0" xfId="0" applyBorder="1" applyFont="1"/>
    <xf borderId="27" fillId="3" fontId="1" numFmtId="0" xfId="0" applyBorder="1" applyFill="1" applyFont="1"/>
    <xf borderId="50" fillId="0" fontId="1" numFmtId="0" xfId="0" applyBorder="1" applyFont="1"/>
    <xf borderId="27" fillId="22" fontId="1" numFmtId="0" xfId="0" applyBorder="1" applyFill="1" applyFont="1"/>
    <xf borderId="27" fillId="4" fontId="1" numFmtId="0" xfId="0" applyBorder="1" applyFill="1" applyFont="1"/>
    <xf borderId="27" fillId="23" fontId="1" numFmtId="0" xfId="0" applyBorder="1" applyFill="1" applyFont="1"/>
    <xf borderId="33" fillId="17" fontId="8" numFmtId="0" xfId="0" applyAlignment="1" applyBorder="1" applyFill="1" applyFont="1">
      <alignment vertical="center"/>
    </xf>
    <xf borderId="49" fillId="3" fontId="1" numFmtId="170" xfId="0" applyAlignment="1" applyBorder="1" applyFill="1" applyFont="1" applyNumberFormat="1">
      <alignment horizontal="center" vertical="center"/>
    </xf>
    <xf borderId="6" fillId="12" fontId="4" numFmtId="164" xfId="0" applyAlignment="1" applyBorder="1" applyFill="1" applyFont="1" applyNumberFormat="1">
      <alignment horizontal="center" shrinkToFit="0" vertical="top" wrapText="1"/>
    </xf>
    <xf borderId="38" fillId="12" fontId="4" numFmtId="164" xfId="0" applyAlignment="1" applyBorder="1" applyFill="1" applyFont="1" applyNumberFormat="1">
      <alignment horizontal="center" shrinkToFit="0" vertical="top" wrapText="1"/>
    </xf>
    <xf borderId="56" fillId="12" fontId="4" numFmtId="0" xfId="0" applyAlignment="1" applyBorder="1" applyFill="1" applyFont="1">
      <alignment horizontal="center" shrinkToFit="0" vertical="top" wrapText="1"/>
    </xf>
    <xf borderId="50" fillId="12" fontId="1" numFmtId="0" xfId="0" applyAlignment="1" applyBorder="1" applyFill="1" applyFont="1">
      <alignment horizontal="left" vertical="center"/>
    </xf>
    <xf borderId="27" fillId="12" fontId="1" numFmtId="0" xfId="0" applyAlignment="1" applyBorder="1" applyFill="1" applyFont="1">
      <alignment horizontal="left" vertical="center"/>
    </xf>
    <xf borderId="53" fillId="12" fontId="1" numFmtId="170" xfId="0" applyAlignment="1" applyBorder="1" applyFill="1" applyFont="1" applyNumberFormat="1">
      <alignment horizontal="center" vertical="center"/>
    </xf>
    <xf borderId="0" fillId="0" fontId="12" numFmtId="0" xfId="0" applyFont="1"/>
    <xf borderId="49" fillId="12" fontId="1" numFmtId="170" xfId="0" applyAlignment="1" applyBorder="1" applyFill="1" applyFont="1" applyNumberFormat="1">
      <alignment horizontal="center" vertical="center"/>
    </xf>
    <xf borderId="27" fillId="12" fontId="1" numFmtId="1" xfId="0" applyAlignment="1" applyBorder="1" applyFill="1" applyFont="1" applyNumberFormat="1">
      <alignment horizontal="center" vertical="center"/>
    </xf>
    <xf borderId="27" fillId="12" fontId="4" numFmtId="49" xfId="0" applyAlignment="1" applyBorder="1" applyFill="1" applyFont="1" applyNumberFormat="1">
      <alignment horizontal="left" vertical="center"/>
    </xf>
    <xf borderId="54" fillId="12" fontId="6" numFmtId="9" xfId="0" applyAlignment="1" applyBorder="1" applyFill="1" applyFont="1" applyNumberFormat="1">
      <alignment horizontal="center" vertical="center"/>
    </xf>
    <xf borderId="27" fillId="12" fontId="4" numFmtId="0" xfId="0" applyAlignment="1" applyBorder="1" applyFill="1" applyFont="1">
      <alignment horizontal="left" shrinkToFit="0" vertical="center" wrapText="1"/>
    </xf>
    <xf borderId="27" fillId="12" fontId="4" numFmtId="0" xfId="0" applyAlignment="1" applyBorder="1" applyFill="1" applyFont="1">
      <alignment horizontal="center" vertical="center"/>
    </xf>
    <xf borderId="27" fillId="12" fontId="4" numFmtId="166" xfId="0" applyAlignment="1" applyBorder="1" applyFill="1" applyFont="1" applyNumberFormat="1">
      <alignment horizontal="center" vertical="center"/>
    </xf>
    <xf borderId="27" fillId="12" fontId="4" numFmtId="1" xfId="0" applyAlignment="1" applyBorder="1" applyFill="1" applyFont="1" applyNumberFormat="1">
      <alignment horizontal="center" vertical="center"/>
    </xf>
    <xf borderId="27" fillId="12" fontId="4" numFmtId="9" xfId="0" applyAlignment="1" applyBorder="1" applyFill="1" applyFont="1" applyNumberFormat="1">
      <alignment horizontal="center" shrinkToFit="0" vertical="center" wrapText="1"/>
    </xf>
    <xf borderId="27" fillId="12" fontId="4" numFmtId="9" xfId="0" applyAlignment="1" applyBorder="1" applyFill="1" applyFont="1" applyNumberFormat="1">
      <alignment horizontal="center" vertical="center"/>
    </xf>
    <xf borderId="57" fillId="12" fontId="1" numFmtId="168" xfId="0" applyBorder="1" applyFill="1" applyFont="1" applyNumberFormat="1"/>
    <xf borderId="58" fillId="0" fontId="1" numFmtId="0" xfId="0" applyAlignment="1" applyBorder="1" applyFont="1">
      <alignment horizontal="left" vertical="center"/>
    </xf>
    <xf borderId="59" fillId="0" fontId="1" numFmtId="170" xfId="0" applyAlignment="1" applyBorder="1" applyFont="1" applyNumberFormat="1">
      <alignment horizontal="center" vertical="center"/>
    </xf>
    <xf borderId="60" fillId="3" fontId="1" numFmtId="170" xfId="0" applyAlignment="1" applyBorder="1" applyFill="1" applyFont="1" applyNumberFormat="1">
      <alignment horizontal="center" vertical="center"/>
    </xf>
    <xf borderId="58" fillId="4" fontId="1" numFmtId="1" xfId="0" applyAlignment="1" applyBorder="1" applyFill="1" applyFont="1" applyNumberFormat="1">
      <alignment horizontal="center" vertical="center"/>
    </xf>
    <xf borderId="61" fillId="0" fontId="6" numFmtId="9" xfId="0" applyAlignment="1" applyBorder="1" applyFont="1" applyNumberFormat="1">
      <alignment horizontal="center" vertical="center"/>
    </xf>
    <xf borderId="62" fillId="0" fontId="1" numFmtId="0" xfId="0" applyBorder="1" applyFont="1"/>
    <xf borderId="58" fillId="0" fontId="1" numFmtId="0" xfId="0" applyBorder="1" applyFont="1"/>
    <xf borderId="58" fillId="3" fontId="1" numFmtId="0" xfId="0" applyBorder="1" applyFill="1" applyFont="1"/>
    <xf borderId="63" fillId="0" fontId="1" numFmtId="0" xfId="0" applyBorder="1" applyFont="1"/>
    <xf borderId="58" fillId="22" fontId="1" numFmtId="0" xfId="0" applyBorder="1" applyFill="1" applyFont="1"/>
    <xf borderId="58" fillId="4" fontId="1" numFmtId="0" xfId="0" applyBorder="1" applyFill="1" applyFont="1"/>
    <xf borderId="58" fillId="23" fontId="1" numFmtId="0" xfId="0" applyBorder="1" applyFill="1" applyFont="1"/>
    <xf borderId="57" fillId="12" fontId="11" numFmtId="168" xfId="0" applyBorder="1" applyFill="1" applyFont="1" applyNumberFormat="1"/>
    <xf borderId="27" fillId="4" fontId="13" numFmtId="49" xfId="0" applyAlignment="1" applyBorder="1" applyFill="1" applyFont="1" applyNumberFormat="1">
      <alignment horizontal="left" vertical="center"/>
    </xf>
    <xf borderId="27" fillId="24" fontId="13" numFmtId="0" xfId="0" applyAlignment="1" applyBorder="1" applyFill="1" applyFont="1">
      <alignment horizontal="left" shrinkToFit="0" vertical="center" wrapText="1"/>
    </xf>
    <xf borderId="27" fillId="24" fontId="10" numFmtId="0" xfId="0" applyAlignment="1" applyBorder="1" applyFill="1" applyFont="1">
      <alignment horizontal="center" vertical="center"/>
    </xf>
    <xf borderId="27" fillId="13" fontId="10" numFmtId="166" xfId="0" applyAlignment="1" applyBorder="1" applyFill="1" applyFont="1" applyNumberFormat="1">
      <alignment horizontal="center" vertical="center"/>
    </xf>
    <xf borderId="27" fillId="24" fontId="10" numFmtId="1" xfId="0" applyAlignment="1" applyBorder="1" applyFill="1" applyFont="1" applyNumberFormat="1">
      <alignment horizontal="center" vertical="center"/>
    </xf>
    <xf borderId="27" fillId="24" fontId="4" numFmtId="9" xfId="0" applyAlignment="1" applyBorder="1" applyFill="1" applyFont="1" applyNumberFormat="1">
      <alignment horizontal="center" shrinkToFit="0" vertical="center" wrapText="1"/>
    </xf>
    <xf borderId="27" fillId="24" fontId="10" numFmtId="9" xfId="0" applyAlignment="1" applyBorder="1" applyFill="1" applyFont="1" applyNumberFormat="1">
      <alignment horizontal="center" vertical="center"/>
    </xf>
    <xf borderId="57" fillId="24" fontId="1" numFmtId="168" xfId="0" applyBorder="1" applyFill="1" applyFont="1" applyNumberFormat="1"/>
    <xf borderId="0" fillId="0" fontId="14" numFmtId="0" xfId="0" applyFont="1"/>
    <xf borderId="57" fillId="25" fontId="1" numFmtId="168" xfId="0" applyBorder="1" applyFill="1" applyFont="1" applyNumberFormat="1"/>
    <xf borderId="57" fillId="26" fontId="1" numFmtId="168" xfId="0" applyBorder="1" applyFill="1" applyFont="1" applyNumberFormat="1"/>
    <xf borderId="57" fillId="6" fontId="1" numFmtId="168" xfId="0" applyBorder="1" applyFill="1" applyFont="1" applyNumberFormat="1"/>
    <xf borderId="57" fillId="27" fontId="1" numFmtId="168" xfId="0" applyBorder="1" applyFill="1" applyFont="1" applyNumberFormat="1"/>
    <xf borderId="57" fillId="28" fontId="1" numFmtId="168" xfId="0" applyBorder="1" applyFill="1" applyFont="1" applyNumberFormat="1"/>
    <xf borderId="57" fillId="29" fontId="1" numFmtId="168" xfId="0" applyBorder="1" applyFill="1" applyFont="1" applyNumberFormat="1"/>
    <xf borderId="57" fillId="29" fontId="11" numFmtId="168" xfId="0" applyBorder="1" applyFill="1" applyFont="1" applyNumberFormat="1"/>
    <xf borderId="27" fillId="4" fontId="10" numFmtId="49" xfId="0" applyAlignment="1" applyBorder="1" applyFill="1" applyFont="1" applyNumberFormat="1">
      <alignment horizontal="left" vertical="center"/>
    </xf>
    <xf borderId="27" fillId="24" fontId="10" numFmtId="0" xfId="0" applyAlignment="1" applyBorder="1" applyFill="1" applyFont="1">
      <alignment horizontal="left" shrinkToFit="0" vertical="center" wrapText="1"/>
    </xf>
    <xf borderId="57" fillId="24" fontId="1" numFmtId="168" xfId="0" applyAlignment="1" applyBorder="1" applyFill="1" applyFont="1" applyNumberFormat="1">
      <alignment horizontal="center"/>
    </xf>
    <xf borderId="27" fillId="24" fontId="10" numFmtId="9" xfId="0" applyAlignment="1" applyBorder="1" applyFill="1" applyFont="1" applyNumberFormat="1">
      <alignment horizontal="center" readingOrder="0" vertical="center"/>
    </xf>
    <xf borderId="27" fillId="24" fontId="10" numFmtId="0" xfId="0" applyAlignment="1" applyBorder="1" applyFill="1" applyFont="1">
      <alignment horizontal="left" shrinkToFit="0" vertical="center" wrapText="1"/>
    </xf>
    <xf borderId="64" fillId="0" fontId="12" numFmtId="0" xfId="0" applyBorder="1" applyFont="1"/>
    <xf borderId="27" fillId="24" fontId="10" numFmtId="0" xfId="0" applyAlignment="1" applyBorder="1" applyFill="1" applyFont="1">
      <alignment horizontal="center" readingOrder="0" vertical="center"/>
    </xf>
    <xf borderId="27" fillId="4" fontId="15" numFmtId="49" xfId="0" applyAlignment="1" applyBorder="1" applyFill="1" applyFont="1" applyNumberFormat="1">
      <alignment horizontal="left" vertical="center"/>
    </xf>
    <xf borderId="27" fillId="24" fontId="10" numFmtId="0" xfId="0" applyAlignment="1" applyBorder="1" applyFill="1" applyFont="1">
      <alignment horizontal="left" readingOrder="0" shrinkToFit="0" vertical="center" wrapText="1"/>
    </xf>
    <xf borderId="27" fillId="4" fontId="10" numFmtId="0" xfId="0" applyAlignment="1" applyBorder="1" applyFill="1" applyFont="1">
      <alignment horizontal="left" vertical="center"/>
    </xf>
    <xf borderId="27" fillId="24" fontId="4" numFmtId="0" xfId="0" applyAlignment="1" applyBorder="1" applyFill="1" applyFont="1">
      <alignment horizontal="center" shrinkToFit="0" vertical="center" wrapText="1"/>
    </xf>
    <xf borderId="57" fillId="24" fontId="11" numFmtId="168" xfId="0" applyBorder="1" applyFill="1" applyFont="1" applyNumberFormat="1"/>
    <xf borderId="57" fillId="25" fontId="11" numFmtId="168" xfId="0" applyBorder="1" applyFill="1" applyFont="1" applyNumberFormat="1"/>
    <xf borderId="57" fillId="26" fontId="11" numFmtId="168" xfId="0" applyBorder="1" applyFill="1" applyFont="1" applyNumberFormat="1"/>
    <xf borderId="57" fillId="6" fontId="11" numFmtId="168" xfId="0" applyBorder="1" applyFill="1" applyFont="1" applyNumberFormat="1"/>
    <xf borderId="57" fillId="27" fontId="11" numFmtId="168" xfId="0" applyBorder="1" applyFill="1" applyFont="1" applyNumberFormat="1"/>
    <xf borderId="57" fillId="28" fontId="11" numFmtId="168" xfId="0" applyBorder="1" applyFill="1" applyFont="1" applyNumberFormat="1"/>
    <xf borderId="27" fillId="12" fontId="4" numFmtId="0" xfId="0" applyAlignment="1" applyBorder="1" applyFill="1" applyFont="1">
      <alignment horizontal="left" vertical="center"/>
    </xf>
    <xf borderId="27" fillId="12" fontId="4" numFmtId="0" xfId="0" applyAlignment="1" applyBorder="1" applyFill="1" applyFont="1">
      <alignment horizontal="center" shrinkToFit="0" vertical="center" wrapText="1"/>
    </xf>
    <xf borderId="27" fillId="24" fontId="16" numFmtId="0" xfId="0" applyAlignment="1" applyBorder="1" applyFill="1" applyFont="1">
      <alignment horizontal="left" shrinkToFit="0" vertical="center" wrapText="1"/>
    </xf>
    <xf borderId="58" fillId="4" fontId="10" numFmtId="0" xfId="0" applyAlignment="1" applyBorder="1" applyFill="1" applyFont="1">
      <alignment horizontal="left" vertical="center"/>
    </xf>
    <xf borderId="58" fillId="24" fontId="10" numFmtId="0" xfId="0" applyAlignment="1" applyBorder="1" applyFill="1" applyFont="1">
      <alignment horizontal="left" shrinkToFit="0" vertical="center" wrapText="1"/>
    </xf>
    <xf borderId="58" fillId="24" fontId="10" numFmtId="0" xfId="0" applyAlignment="1" applyBorder="1" applyFill="1" applyFont="1">
      <alignment horizontal="center" vertical="center"/>
    </xf>
    <xf borderId="58" fillId="13" fontId="10" numFmtId="166" xfId="0" applyAlignment="1" applyBorder="1" applyFill="1" applyFont="1" applyNumberFormat="1">
      <alignment horizontal="center" vertical="center"/>
    </xf>
    <xf borderId="58" fillId="24" fontId="10" numFmtId="1" xfId="0" applyAlignment="1" applyBorder="1" applyFill="1" applyFont="1" applyNumberFormat="1">
      <alignment horizontal="center" vertical="center"/>
    </xf>
    <xf borderId="58" fillId="24" fontId="4" numFmtId="0" xfId="0" applyAlignment="1" applyBorder="1" applyFill="1" applyFont="1">
      <alignment horizontal="center" shrinkToFit="0" vertical="center" wrapText="1"/>
    </xf>
    <xf borderId="58" fillId="24" fontId="10" numFmtId="9" xfId="0" applyAlignment="1" applyBorder="1" applyFill="1" applyFont="1" applyNumberFormat="1">
      <alignment horizontal="center" vertical="center"/>
    </xf>
    <xf borderId="65" fillId="24" fontId="11" numFmtId="168" xfId="0" applyBorder="1" applyFill="1" applyFont="1" applyNumberFormat="1"/>
    <xf borderId="65" fillId="25" fontId="11" numFmtId="168" xfId="0" applyBorder="1" applyFill="1" applyFont="1" applyNumberFormat="1"/>
    <xf borderId="65" fillId="26" fontId="11" numFmtId="168" xfId="0" applyBorder="1" applyFill="1" applyFont="1" applyNumberFormat="1"/>
    <xf borderId="65" fillId="6" fontId="11" numFmtId="168" xfId="0" applyBorder="1" applyFill="1" applyFont="1" applyNumberFormat="1"/>
    <xf borderId="65" fillId="27" fontId="11" numFmtId="168" xfId="0" applyBorder="1" applyFill="1" applyFont="1" applyNumberFormat="1"/>
    <xf borderId="65" fillId="28" fontId="11" numFmtId="168" xfId="0" applyBorder="1" applyFill="1" applyFont="1" applyNumberFormat="1"/>
    <xf borderId="65" fillId="29" fontId="11" numFmtId="168" xfId="0" applyBorder="1" applyFill="1" applyFont="1" applyNumberFormat="1"/>
    <xf borderId="66" fillId="29" fontId="11" numFmtId="168" xfId="0" applyBorder="1" applyFill="1" applyFont="1" applyNumberFormat="1"/>
    <xf borderId="0" fillId="0" fontId="11" numFmtId="16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59242285-20a4-468d-b13f-c3fc91854be4}" providerId="google-sheets"/>
  <x18tc:person displayName="NAZARET . GONZALEZ AGUILA" id="{e498486e-8ee4-42fc-ad38-e834172b074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5" dT="2026-09-13T22:27:27.00" personId="{59242285-20a4-468d-b13f-c3fc91854be4}" id="{078ee080-31ae-48a8-9514-f054244568c1}" done="0">
    <x18tc:text xml:space="preserve">ESTADO
Sin iniciar
PRIORIDAD
MEDIA
APORTE
Brandon documenta decisiones, API, BD y despliegue mientras desarrolla. Nazaret aporta los flujos de usuario.</x18tc:text>
  </x18tc:threadedComment>
  <x18tc:threadedComment ref="C15" dT="2026-09-13T22:27:27.00" personId="{59242285-20a4-468d-b13f-c3fc91854be4}" id="{8a5e0834-9ece-4273-8e5a-894333c124d7}" done="0">
    <x18tc:text xml:space="preserve">ESTADO
Completado
PRIORIDAD
MEDIA
APORTE
Nazaret organiza las responsabilidades. Brandon revisa la distribución del trabajo.</x18tc:text>
  </x18tc:threadedComment>
  <x18tc:threadedComment ref="C28" dT="2026-09-13T22:27:27.00" personId="{59242285-20a4-468d-b13f-c3fc91854be4}" id="{bfb42fd7-4032-49ff-a188-d3111b7df283}" done="0">
    <x18tc:text xml:space="preserve">ESTADO
Sin iniciar
PRIORIDAD
ALTA
APORTE
Brandon implementa inicio y cierre de sesión, cuentas individuales, roles y controles en el servidor. Nazaret revisa los flujos.</x18tc:text>
  </x18tc:threadedComment>
  <x18tc:threadedComment ref="C40" dT="2026-09-13T22:27:27.00" personId="{59242285-20a4-468d-b13f-c3fc91854be4}" id="{0df0fe57-0871-443e-a51d-88c26189f5ea}" done="0">
    <x18tc:text xml:space="preserve">ESTADO
Sin iniciar
PRIORIDAD
ALTA
APORTE
Brandon registra usuario, acción, cliente y fecha, y habilita el historial administrativo. Nazaret revisa su consulta.</x18tc:text>
  </x18tc:threadedComment>
  <x18tc:threadedComment ref="C23" dT="2026-09-13T22:27:27.00" personId="{59242285-20a4-468d-b13f-c3fc91854be4}" id="{f6a2f75f-365a-4ab6-907b-fb74724c3011}" done="0">
    <x18tc:text xml:space="preserve">ESTADO
Completado
PRIORIDAD
ALTA
APORTE
Nazaret y Brandon presentan la propuesta y registran las observaciones del profesor.</x18tc:text>
  </x18tc:threadedComment>
  <x18tc:threadedComment ref="C56" dT="2026-09-13T22:27:27.00" personId="{59242285-20a4-468d-b13f-c3fc91854be4}" id="{51e6ce74-3f86-4adf-a1d3-2efb8e0149ea}" done="0">
    <x18tc:text xml:space="preserve">ESTADO
Sin iniciar
PRIORIDAD
MEDIA
APORTE
Ambos ensayan la exposición de 15 minutos, la demostración y las preguntas. Nazaret coordina los ajustes.</x18tc:text>
  </x18tc:threadedComment>
  <x18tc:threadedComment ref="C27" dT="2026-09-13T22:27:27.00" personId="{59242285-20a4-468d-b13f-c3fc91854be4}" id="{c4b6d04f-412b-4350-a3f7-76804d8178ea}" done="0">
    <x18tc:text xml:space="preserve">ESTADO
Necesita actualización
PRIORIDAD
ALTA
APORTE
Brandon crea tablas, relaciones, restricciones y migraciones. Nazaret revisa clientes, usuarios y períodos.</x18tc:text>
  </x18tc:threadedComment>
  <x18tc:threadedComment ref="C37" dT="2026-09-13T22:27:27.00" personId="{59242285-20a4-468d-b13f-c3fc91854be4}" id="{a2a666c7-95ca-4179-aab5-3c8567fb49fc}" done="0">
    <x18tc:text xml:space="preserve">ESTADO
Sin iniciar
PRIORIDAD
ALTA
APORTE
Brandon implementa clientes con RR.HH., trabajadores y documentos laborales. Nazaret revisa las vistas.</x18tc:text>
    <x18tc:extLst>
      <ext uri="{F7C98A9C-CBB3-438F-8F68-D28B6AF4A901}">
        <xltc2:checksum/>
        <xltc2:hyperlink startIndex="75" length="5" url="http://RR.HH"/>
      </ext>
    </x18tc:extLst>
  </x18tc:threadedComment>
  <x18tc:threadedComment ref="C57" dT="2026-09-13T22:27:27.00" personId="{59242285-20a4-468d-b13f-c3fc91854be4}" id="{821ca7ea-a35e-45ea-be8c-f701e3e11317}" done="0">
    <x18tc:text xml:space="preserve">ESTADO
Sin iniciar
PRIORIDAD
ALTA
APORTE
Nazaret y Brandon defienden el proyecto. Los profesores evalúan. La fecha exacta se ajustará al turno asignado.</x18tc:text>
  </x18tc:threadedComment>
  <x18tc:threadedComment ref="C31" dT="2026-09-13T22:27:27.00" personId="{59242285-20a4-468d-b13f-c3fc91854be4}" id="{49179e62-2b47-49a9-9e25-3fe7d172d7f8}" done="0">
    <x18tc:text xml:space="preserve">ESTADO
Sin iniciar
PRIORIDAD
ALTA
APORTE
Detalle de aportes en las tareas siguientes.</x18tc:text>
  </x18tc:threadedComment>
  <x18tc:threadedComment ref="C19" dT="2026-09-13T22:27:27.00" personId="{59242285-20a4-468d-b13f-c3fc91854be4}" id="{d596e93a-5756-454f-ae22-5b33f58d5d3b}" done="0">
    <x18tc:text xml:space="preserve">ESTADO
Completado
PRIORIDAD
ALTA
APORTE
Nazaret define RF, RNF y criterios de aceptación. Brandon y TRIBUTEK aportan observaciones.</x18tc:text>
  </x18tc:threadedComment>
  <x18tc:threadedComment ref="C44" dT="2026-09-13T22:27:27.00" personId="{59242285-20a4-468d-b13f-c3fc91854be4}" id="{b501403a-34f4-4f0b-a1ae-90d148e23e15}" done="0">
    <x18tc:text xml:space="preserve">ESTADO
Sin iniciar
PRIORIDAD
ALTA
APORTE
Nazaret prueba recorridos de Administradora y Cliente. Brandon revisa resultados y aprueba los ajustes para pruebas finales.</x18tc:text>
  </x18tc:threadedComment>
  <x18tc:threadedComment ref="C42" dT="2026-09-13T22:27:27.00" personId="{59242285-20a4-468d-b13f-c3fc91854be4}" id="{edafec7f-70e0-41ce-8189-f9e33df0d4ad}" done="0">
    <x18tc:text xml:space="preserve">ESTADO
Sin iniciar
PRIORIDAD
ALTA
APORTE
Nazaret conecta vistas y flujos. Brandon integra API, BD y permisos. Ambos comprueban documentos, períodos y estados.</x18tc:text>
  </x18tc:threadedComment>
  <x18tc:threadedComment ref="C20" dT="2026-09-13T22:27:27.00" personId="{59242285-20a4-468d-b13f-c3fc91854be4}" id="{32b1fc2a-8dd0-423c-ad84-48ab13587e6d}" done="0">
    <x18tc:text xml:space="preserve">ESTADO
Completado
PRIORIDAD
MEDIA
APORTE
Brandon organiza el repositorio. Ambos registran tareas y evidencias en GitHub Projects.</x18tc:text>
  </x18tc:threadedComment>
  <x18tc:threadedComment ref="C36" dT="2026-09-13T22:27:27.00" personId="{59242285-20a4-468d-b13f-c3fc91854be4}" id="{43c7572c-4df6-4278-b73a-61689f53a265}" done="0">
    <x18tc:text xml:space="preserve">ESTADO
Sin iniciar
PRIORIDAD
ALTA
APORTE
Nazaret desarrolla antecedentes, revisión, resumen y proyección F29 descargable. Brandon apoya la integración. Sin envío oficial al SII.</x18tc:text>
  </x18tc:threadedComment>
  <x18tc:threadedComment ref="C17" dT="2026-09-13T22:27:27.00" personId="{59242285-20a4-468d-b13f-c3fc91854be4}" id="{9160287b-60ce-459b-9d09-2f16306a2c17}" done="0">
    <x18tc:text xml:space="preserve">ESTADO
Completado
PRIORIDAD
MEDIA
APORTE
Nazaret prepara las vistas en Canva. Brandon y TRIBUTEK revisan los flujos y la información.</x18tc:text>
  </x18tc:threadedComment>
  <x18tc:threadedComment ref="C63" dT="2026-09-13T22:27:27.00" personId="{59242285-20a4-468d-b13f-c3fc91854be4}" id="{66f020ca-d246-4290-9870-a42b110fc640}" done="0">
    <x18tc:text xml:space="preserve">ESTADO
Sin iniciar
PRIORIDAD
ALTA
APORTE
Nazaret prueba cada entrega parcial. Brandon revisa, aprueba y apoya las correcciones antes de integrar.</x18tc:text>
  </x18tc:threadedComment>
  <x18tc:threadedComment ref="C64" dT="2026-09-13T22:27:27.00" personId="{59242285-20a4-468d-b13f-c3fc91854be4}" id="{591e81bd-3265-449d-8afa-41a4d839d43c}" done="0">
    <x18tc:text xml:space="preserve">ESTADO
Sin iniciar
PRIORIDAD
ALTA
APORTE
Ambos presentan el avance, demuestran los módulos disponibles y registran las observaciones del profesor.</x18tc:text>
  </x18tc:threadedComment>
  <x18tc:threadedComment ref="C10" dT="2026-09-13T22:27:27.00" personId="{59242285-20a4-468d-b13f-c3fc91854be4}" id="{bc641da2-43d3-4dbb-9dcb-3601892a0440}" done="0">
    <x18tc:text xml:space="preserve">ESTADO
Completado
PRIORIDAD
ALTA
APORTE
Detalle de aportes en las tareas siguientes.</x18tc:text>
  </x18tc:threadedComment>
  <x18tc:threadedComment ref="C39" dT="2026-09-13T22:27:27.00" personId="{59242285-20a4-468d-b13f-c3fc91854be4}" id="{a3943b50-0366-4f86-bb4a-827807427117}" done="0">
    <x18tc:text xml:space="preserve">ESTADO
Sin iniciar
PRIORIDAD
ALTA
APORTE
Nazaret implementa panel, carga, consulta de documentos y gestiones visibles. Brandon revisa el aislamiento entre clientes.</x18tc:text>
  </x18tc:threadedComment>
  <x18tc:threadedComment ref="C49" dT="2026-09-13T22:27:27.00" personId="{59242285-20a4-468d-b13f-c3fc91854be4}" id="{47043783-398c-416e-9738-33bfbb2e5c4b}" done="0">
    <x18tc:text xml:space="preserve">ESTADO
Sin iniciar
PRIORIDAD
ALTA
APORTE
Nazaret coordina y realiza correcciones. Brandon revisa, aprueba y apoya los cambios técnicos. Se repiten los casos afectados.</x18tc:text>
  </x18tc:threadedComment>
  <x18tc:threadedComment ref="C50" dT="2026-09-13T22:27:28.00" personId="{59242285-20a4-468d-b13f-c3fc91854be4}" id="{73644923-37c6-4584-ad28-9213fe3cd7e0}" done="0">
    <x18tc:text xml:space="preserve">ESTADO
Sin iniciar
PRIORIDAD
ALTA
APORTE
Nazaret dirige la validación y TRIBUTEK aprueba. Brandon despliega, verifica respaldos y ejecuta comprobaciones finales.</x18tc:text>
  </x18tc:threadedComment>
  <x18tc:threadedComment ref="C62" dT="2026-09-13T22:27:28.00" personId="{59242285-20a4-468d-b13f-c3fc91854be4}" id="{03b06dce-0626-493e-91e0-7126670d72ee}" done="0">
    <x18tc:text xml:space="preserve">ESTADO
Sin iniciar
PRIORIDAD
MEDIA
APORTE
Cada integrante registra su aporte y reflexión. Nazaret organiza evidencias grupales y Brandon aporta registros técnicos.</x18tc:text>
  </x18tc:threadedComment>
  <x18tc:threadedComment ref="C11" dT="2026-09-13T22:27:28.00" personId="{59242285-20a4-468d-b13f-c3fc91854be4}" id="{256691dd-b647-4141-bfa5-0577b23c1456}" done="0">
    <x18tc:text xml:space="preserve">ESTADO
Completado
PRIORIDAD
MEDIA
APORTE
Nazaret registra las indicaciones y las actividades de la primera semana.</x18tc:text>
  </x18tc:threadedComment>
  <x18tc:threadedComment ref="C54" dT="2026-09-13T22:27:27.00" personId="{59242285-20a4-468d-b13f-c3fc91854be4}" id="{6f2bdeb2-627f-441f-b2fd-c2890eb3db0e}" done="0">
    <x18tc:text xml:space="preserve">ESTADO
Sin iniciar
PRIORIDAD
ALTA
APORTE
Nazaret integra objetivos, resultados, pruebas y evidencias en el formato solicitado. Brandon aporta y revisa la parte técnica.</x18tc:text>
  </x18tc:threadedComment>
  <x18tc:threadedComment ref="C24" dT="2026-09-13T22:27:27.00" personId="{59242285-20a4-468d-b13f-c3fc91854be4}" id="{39390f7b-a8b8-4d6e-935f-850876901f37}" done="0">
    <x18tc:text xml:space="preserve">ESTADO
En curso
PRIORIDAD
ALTA
APORTE
Detalle de aportes en las tareas siguientes.</x18tc:text>
  </x18tc:threadedComment>
  <x18tc:threadedComment ref="C38" dT="2026-09-13T22:27:27.00" personId="{59242285-20a4-468d-b13f-c3fc91854be4}" id="{25563c27-bfde-4de7-9bf3-71920154c9aa}" done="0">
    <x18tc:text xml:space="preserve">ESTADO
Sin iniciar
PRIORIDAD
ALTA
APORTE
Detalle de aportes en las tareas siguientes.</x18tc:text>
  </x18tc:threadedComment>
  <x18tc:threadedComment ref="C53" dT="2026-09-13T22:27:27.00" personId="{59242285-20a4-468d-b13f-c3fc91854be4}" id="{1a8e2696-6fde-4e57-b7bf-bb2436d32a42}" done="0">
    <x18tc:text xml:space="preserve">ESTADO
Sin iniciar
PRIORIDAD
MEDIA
APORTE
Brandon completa arquitectura, BD, instalación, despliegue, respaldo y mantenimiento. Nazaret revisa la claridad de uso.</x18tc:text>
  </x18tc:threadedComment>
  <x18tc:threadedComment ref="C21" dT="2026-09-13T22:27:27.00" personId="{59242285-20a4-468d-b13f-c3fc91854be4}" id="{0d1c73fc-e82b-46fe-81d6-6de5555d0986}" done="0">
    <x18tc:text xml:space="preserve">ESTADO
Completado
PRIORIDAD
ALTA
APORTE
Nazaret reúne las evidencias y prepara la exposición. Brandon revisa y aporta sus entregables.</x18tc:text>
  </x18tc:threadedComment>
  <x18tc:threadedComment ref="C58" dT="2026-09-13T22:27:27.00" personId="{59242285-20a4-468d-b13f-c3fc91854be4}" id="{628db4e4-b545-498a-b908-e716d44d9df0}" done="0">
    <x18tc:text xml:space="preserve">ESTADO
Sin iniciar
PRIORIDAD
MEDIA
APORTE
Nazaret verifica documentos y reflexión final. Brandon revisa repositorio, versión final y archivos técnicos.</x18tc:text>
  </x18tc:threadedComment>
  <x18tc:threadedComment ref="C43" dT="2026-09-13T22:27:27.00" personId="{59242285-20a4-468d-b13f-c3fc91854be4}" id="{391a1881-5104-47ac-831e-2e1c732e616e}" done="0">
    <x18tc:text xml:space="preserve">ESTADO
Sin iniciar
PRIORIDAD
ALTA
APORTE
Brandon configura y documenta el respaldo de BD y archivos. Ejecuta una prueba de recuperación con datos de ensayo.</x18tc:text>
  </x18tc:threadedComment>
  <x18tc:threadedComment ref="C16" dT="2026-09-13T22:27:27.00" personId="{59242285-20a4-468d-b13f-c3fc91854be4}" id="{4812db5a-281a-4ce5-8d24-e2ad351fea76}" done="0">
    <x18tc:text xml:space="preserve">ESTADO
Completado
PRIORIDAD
ALTA
APORTE
Nazaret redacta la definición, el alcance y la factibilidad. Cada integrante completa su autoevaluación.</x18tc:text>
  </x18tc:threadedComment>
  <x18tc:threadedComment ref="C46" dT="2026-09-13T22:27:27.00" personId="{59242285-20a4-468d-b13f-c3fc91854be4}" id="{42419a7f-21e8-474b-acd9-dd56bf9beb1f}" done="0">
    <x18tc:text xml:space="preserve">ESTADO
Sin iniciar
PRIORIDAD
ALTA
APORTE
Nazaret ejecuta los casos y registra resultados. Brandon revisa y aprueba. Se comprueban los 52 requisitos de la matriz.</x18tc:text>
  </x18tc:threadedComment>
  <x18tc:threadedComment ref="C48" dT="2026-09-13T22:27:27.00" personId="{59242285-20a4-468d-b13f-c3fc91854be4}" id="{cbf01572-f0e8-49d5-8af4-d9abaf01a122}" done="0">
    <x18tc:text xml:space="preserve">ESTADO
Sin iniciar
PRIORIDAD
MEDIA
APORTE
Nazaret mide respuesta y prueba Chrome, Edge y Firefox. Brandon revisa resultados técnicos. Se registran datos y condiciones de prueba.</x18tc:text>
  </x18tc:threadedComment>
  <x18tc:threadedComment ref="C59" dT="2026-09-13T22:27:28.00" personId="{59242285-20a4-468d-b13f-c3fc91854be4}" id="{f8e7ec57-9ae8-4e54-848e-d6b78ac03a89}" done="0">
    <x18tc:text xml:space="preserve">ESTADO
Sin iniciar
PRIORIDAD
ALTA
APORTE
Detalle de aportes en las tareas siguientes.</x18tc:text>
  </x18tc:threadedComment>
  <x18tc:threadedComment ref="C41" dT="2026-09-13T22:27:28.00" personId="{59242285-20a4-468d-b13f-c3fc91854be4}" id="{5aa185fb-c10f-4d2f-a33b-63f1cc25eb50}" done="0">
    <x18tc:text xml:space="preserve">ESTADO
Sin iniciar
PRIORIDAD
MEDIA
APORTE
Nazaret implementa mensajes revisables y exportaciones del flujo validado. Brandon revisa la integración. Sin envío automático por WhatsApp.</x18tc:text>
  </x18tc:threadedComment>
  <x18tc:threadedComment ref="C13" dT="2026-09-13T22:27:28.00" personId="{59242285-20a4-468d-b13f-c3fc91854be4}" id="{345727d1-f7f9-4640-9569-c1a1a796c29a}" done="0">
    <x18tc:text xml:space="preserve">ESTADO
Completado
PRIORIDAD
ALTA
APORTE
Brandon conduce la reunión. Nazaret participa con preguntas y análisis. La jefatura valida las necesidades, según RACI.</x18tc:text>
  </x18tc:threadedComment>
  <x18tc:threadedComment ref="C22" dT="2026-09-13T22:27:28.00" personId="{59242285-20a4-468d-b13f-c3fc91854be4}" id="{4185c368-c596-470e-aad6-d82822d67fe8}" done="0">
    <x18tc:text xml:space="preserve">ESTADO
Completado
PRIORIDAD
ALTA
APORTE
Brandon propone herramientas y arquitectura. Nazaret revisa su relación con el alcance. La selección final se valida en Fase 2.</x18tc:text>
  </x18tc:threadedComment>
  <x18tc:threadedComment ref="C47" dT="2026-09-13T22:27:28.00" personId="{59242285-20a4-468d-b13f-c3fc91854be4}" id="{969b4c1c-1578-45a7-b454-419debfc21e0}" done="0">
    <x18tc:text xml:space="preserve">ESTADO
Sin iniciar
PRIORIDAD
ALTA
APORTE
Brandon prueba hash, acceso sin sesión, roles, acceso cruzado y protección de notas y auditoría. Nazaret apoya los escenarios.</x18tc:text>
  </x18tc:threadedComment>
  <x18tc:threadedComment ref="C14" dT="2026-09-13T22:27:28.00" personId="{59242285-20a4-468d-b13f-c3fc91854be4}" id="{6b688bdc-db33-446a-9b9a-1c9d0c4e281e}" done="0">
    <x18tc:text xml:space="preserve">ESTADO
Completado
PRIORIDAD
MEDIA
APORTE
Brandon prepara el cronograma inicial. Nazaret aporta información sobre sus tareas.</x18tc:text>
  </x18tc:threadedComment>
  <x18tc:threadedComment ref="C52" dT="2026-09-13T22:27:28.00" personId="{59242285-20a4-468d-b13f-c3fc91854be4}" id="{e79e2ec1-e905-4a1c-a4fb-4f61c6dc4b67}" done="0">
    <x18tc:text xml:space="preserve">ESTADO
Sin iniciar
PRIORIDAD
ALTA
APORTE
Detalle de aportes en las tareas siguientes.</x18tc:text>
  </x18tc:threadedComment>
  <x18tc:threadedComment ref="C60" dT="2026-09-13T22:27:28.00" personId="{59242285-20a4-468d-b13f-c3fc91854be4}" id="{42d771a8-e1d7-403d-a2e3-87682ffd36ad}" done="0">
    <x18tc:text xml:space="preserve">ESTADO
Sin iniciar
PRIORIDAD
MEDIA
APORTE
Ambos actualizan tareas, bloqueos y revisiones en GitHub Projects. Acuerdan prioridades y próximos pasos cada semana.</x18tc:text>
  </x18tc:threadedComment>
  <x18tc:threadedComment ref="C61" dT="2026-09-13T22:27:28.00" personId="{59242285-20a4-468d-b13f-c3fc91854be4}" id="{c672b54f-787c-44fd-be9b-5d80913f1f11}" done="0">
    <x18tc:text xml:space="preserve">ESTADO
Sin iniciar
PRIORIDAD
MEDIA
APORTE
Brandon actualiza fechas de la Gantt. Nazaret mantiene RACI, RF y RNF. Ambos revisan dependencias y cambios de alcance.</x18tc:text>
  </x18tc:threadedComment>
  <x18tc:threadedComment ref="C33" dT="2026-09-13T22:27:28.00" personId="{59242285-20a4-468d-b13f-c3fc91854be4}" id="{7a7050ef-ef82-4019-8fdc-8565f4f9e216}" done="0">
    <x18tc:text xml:space="preserve">ESTADO
Sin iniciar
PRIORIDAD
ALTA
APORTE
Brandon implementa carga, filtros, consulta, descarga y visibilidad. Nazaret revisa la conexión con el portal.</x18tc:text>
  </x18tc:threadedComment>
  <x18tc:threadedComment ref="C45" dT="2026-09-13T22:27:28.00" personId="{59242285-20a4-468d-b13f-c3fc91854be4}" id="{f6fb29af-c3e4-4ee8-b297-a02e6a42725f}" done="0">
    <x18tc:text xml:space="preserve">ESTADO
Sin iniciar
PRIORIDAD
ALTA
APORTE
Detalle de aportes en las tareas siguientes.</x18tc:text>
  </x18tc:threadedComment>
  <x18tc:threadedComment ref="C35" dT="2026-09-13T22:27:28.00" personId="{59242285-20a4-468d-b13f-c3fc91854be4}" id="{17326998-4628-4dd6-be71-6e4cf16f8abb}" done="0">
    <x18tc:text xml:space="preserve">ESTADO
Sin iniciar
PRIORIDAD
ALTA
APORTE
Brandon implementa cobros, pagos, abonos y cálculo de saldos por cliente y período. Nazaret revisa los resultados.</x18tc:text>
  </x18tc:threadedComment>
  <x18tc:threadedComment ref="C51" dT="2026-09-13T22:27:28.00" personId="{59242285-20a4-468d-b13f-c3fc91854be4}" id="{4aed0581-10ba-4a5e-89a3-0120def22102}" done="0">
    <x18tc:text xml:space="preserve">ESTADO
Sin iniciar
PRIORIDAD
ALTA
APORTE
Nazaret reúne resultados y evidencias. Brandon entrega código, BD y documentación técnica. Ambos presentan el producto.</x18tc:text>
  </x18tc:threadedComment>
  <x18tc:threadedComment ref="C18" dT="2026-09-13T22:27:28.00" personId="{59242285-20a4-468d-b13f-c3fc91854be4}" id="{7c62b564-32bc-406b-8437-1433e84b04bb}" done="0">
    <x18tc:text xml:space="preserve">ESTADO
Completado
PRIORIDAD
ALTA
APORTE
Brandon define las entidades y relaciones. Nazaret revisa su coherencia con los requisitos.</x18tc:text>
  </x18tc:threadedComment>
  <x18tc:threadedComment ref="C55" dT="2026-09-13T22:27:28.00" personId="{59242285-20a4-468d-b13f-c3fc91854be4}" id="{4a27d0b4-a9e4-4fab-a480-6d045626e047}" done="0">
    <x18tc:text xml:space="preserve">ESTADO
Sin iniciar
PRIORIDAD
ALTA
APORTE
Nazaret organiza y aprueba el contenido. Brandon prepara la parte técnica y la demostración. Usan el formato del profesor.</x18tc:text>
  </x18tc:threadedComment>
  <x18tc:threadedComment ref="C12" dT="2026-09-13T22:27:28.00" personId="{59242285-20a4-468d-b13f-c3fc91854be4}" id="{921a4c85-5d7c-4974-ba1d-a8b7bb04d166}" done="0">
    <x18tc:text xml:space="preserve">ESTADO
Completado
PRIORIDAD
ALTA
APORTE
Nazaret y Brandon preparan preguntas para conocer la empresa y sus necesidades.</x18tc:text>
  </x18tc:threadedComment>
  <x18tc:threadedComment ref="C30" dT="2026-09-14T05:46:41.00" personId="{e498486e-8ee4-42fc-ad38-e834172b074d}" id="{d91af5ee-1df9-49e9-9371-1c95e66d4ecc}" done="0">
    <x18tc:text xml:space="preserve">ESTADO
En curso
PRIORIDAD
ALTA
APORTE
Nazaret prueba recorridos de Administradora y Cliente. Brandon revisa resultados y aprueba los ajustes para pruebas finales.</x18tc:text>
  </x18tc:threadedComment>
  <x18tc:threadedComment ref="C32" dT="2026-09-14T06:04:36.00" personId="{e498486e-8ee4-42fc-ad38-e834172b074d}" id="{c420aa7d-b017-46a1-8223-85c8341b6ffa}" done="0">
    <x18tc:text xml:space="preserve">ESTADO
En curso
PRIORIDAD
ALTA
APORTE
Brandon implementa registro, búsqueda, ficha, edición, servicios y habilitación de acceso. Nazaret revisa la experiencia de uso.</x18tc:text>
  </x18tc:threadedComment>
  <x18tc:threadedComment ref="C25" dT="2026-09-14T05:48:43.00" personId="{e498486e-8ee4-42fc-ad38-e834172b074d}" id="{21c6debe-9088-472e-a41a-b64d7ce0e18d}" done="0">
    <x18tc:text xml:space="preserve">ESTADO
Completado
PRIORIDAD
ALTA
APORTE
Nazaret implementa panel, consulta de documentos y gestiones visibles. Brandon revisa el aislamiento entre clientes.</x18tc:text>
  </x18tc:threadedComment>
  <x18tc:threadedComment ref="C26" dT="2026-09-14T05:49:24.00" personId="{e498486e-8ee4-42fc-ad38-e834172b074d}" id="{ffd5d2da-af33-4fe6-a74a-c11fa9ecbf1e}" done="0">
    <x18tc:text xml:space="preserve">ESTADO
En curso
PRIORIDAD
ALTA
APORTE
Brandon registra usuario, acción, cliente y fecha, y habilita el historial administrativo. Nazaret revisa su consulta.</x18tc:text>
  </x18tc:threadedComment>
  <x18tc:threadedComment ref="C34" dT="2026-09-14T06:01:47.00" personId="{e498486e-8ee4-42fc-ad38-e834172b074d}" id="{69ce1a25-c29e-4339-8bdd-6c7f58cfa9a3}" done="0">
    <x18tc:text xml:space="preserve">ESTADO
Sin iniciar
PRIORIDAD
ALTA
APORTE
Nazaret desarrolla resumen, vencimientos, checklist, estados, seguimientos y notas internas. Brandon revisa permisos y API.</x18tc:text>
  </x18tc:threadedComment>
  <x18tc:threadedComment ref="C29" dT="2026-09-14T06:04:00.00" personId="{e498486e-8ee4-42fc-ad38-e834172b074d}" id="{8844ca00-571e-4883-bac1-96a25492ff60}" done="0">
    <x18tc:text xml:space="preserve">ESTADO
En curso
PRIORIDAD
ALTA
APORTE
Nazaret ajusta crea navegación y componentes comunes. Brandon revisa su conexión con la API.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4.11"/>
    <col customWidth="1" min="3" max="3" width="41.0"/>
    <col customWidth="1" min="4" max="4" width="11.67"/>
    <col customWidth="1" min="5" max="7" width="9.89"/>
    <col customWidth="1" min="8" max="8" width="19.0"/>
    <col customWidth="1" min="9" max="9" width="14.44"/>
    <col customWidth="1" min="10" max="99" width="3.33"/>
  </cols>
  <sheetData>
    <row r="1" ht="49.5" customHeight="1">
      <c r="A1" s="1"/>
      <c r="B1" s="2" t="s">
        <v>0</v>
      </c>
      <c r="C1" s="2"/>
      <c r="D1" s="2"/>
      <c r="E1" s="3"/>
      <c r="F1" s="3"/>
      <c r="G1" s="2"/>
      <c r="H1" s="2"/>
      <c r="I1" s="2"/>
      <c r="J1" s="2"/>
      <c r="K1" s="2"/>
      <c r="L1" s="2"/>
      <c r="M1" s="2"/>
      <c r="N1" s="4"/>
      <c r="R1" s="4"/>
      <c r="S1" s="4"/>
      <c r="T1" s="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ht="34.5" customHeight="1">
      <c r="A2" s="5"/>
      <c r="B2" s="6" t="s">
        <v>1</v>
      </c>
      <c r="C2" s="7" t="s">
        <v>2</v>
      </c>
      <c r="D2" s="5"/>
      <c r="E2" s="8"/>
      <c r="F2" s="8"/>
      <c r="G2" s="5"/>
      <c r="H2" s="9" t="s">
        <v>3</v>
      </c>
      <c r="I2" s="12">
        <f>AVERAGE(I11:I23,I25:I30,I32:I37,I39:I44,I46:I51,I53:I58,I60:I65)</f>
        <v>0.4959183673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>
      <c r="A3" s="17"/>
      <c r="B3" s="18" t="s">
        <v>4</v>
      </c>
      <c r="C3" s="19" t="s">
        <v>6</v>
      </c>
      <c r="D3" s="5"/>
      <c r="E3" s="8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</row>
    <row r="4">
      <c r="A4" s="25"/>
      <c r="B4" s="26" t="s">
        <v>5</v>
      </c>
      <c r="C4" s="27" t="s">
        <v>8</v>
      </c>
      <c r="D4" s="5"/>
      <c r="E4" s="8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>
      <c r="A5" s="25"/>
      <c r="B5" s="32" t="s">
        <v>7</v>
      </c>
      <c r="C5" s="34">
        <v>46244.0</v>
      </c>
      <c r="D5" s="5"/>
      <c r="E5" s="8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</row>
    <row r="6" ht="36.0" customHeight="1">
      <c r="A6" s="41"/>
      <c r="B6" s="43" t="s">
        <v>14</v>
      </c>
      <c r="C6" s="45">
        <v>46346.0</v>
      </c>
      <c r="D6" s="47"/>
      <c r="E6" s="49"/>
      <c r="F6" s="49"/>
      <c r="G6" s="47"/>
      <c r="H6" s="47"/>
      <c r="I6" s="47"/>
      <c r="J6" s="53">
        <f>$C$5</f>
        <v>46244</v>
      </c>
      <c r="K6" s="53">
        <f t="shared" ref="K6:CU6" si="1">WORKDAY(J6,1)</f>
        <v>46245</v>
      </c>
      <c r="L6" s="53">
        <f t="shared" si="1"/>
        <v>46246</v>
      </c>
      <c r="M6" s="53">
        <f t="shared" si="1"/>
        <v>46247</v>
      </c>
      <c r="N6" s="53">
        <f t="shared" si="1"/>
        <v>46248</v>
      </c>
      <c r="O6" s="53">
        <f t="shared" si="1"/>
        <v>46251</v>
      </c>
      <c r="P6" s="53">
        <f t="shared" si="1"/>
        <v>46252</v>
      </c>
      <c r="Q6" s="53">
        <f t="shared" si="1"/>
        <v>46253</v>
      </c>
      <c r="R6" s="53">
        <f t="shared" si="1"/>
        <v>46254</v>
      </c>
      <c r="S6" s="53">
        <f t="shared" si="1"/>
        <v>46255</v>
      </c>
      <c r="T6" s="53">
        <f t="shared" si="1"/>
        <v>46258</v>
      </c>
      <c r="U6" s="53">
        <f t="shared" si="1"/>
        <v>46259</v>
      </c>
      <c r="V6" s="53">
        <f t="shared" si="1"/>
        <v>46260</v>
      </c>
      <c r="W6" s="53">
        <f t="shared" si="1"/>
        <v>46261</v>
      </c>
      <c r="X6" s="53">
        <f t="shared" si="1"/>
        <v>46262</v>
      </c>
      <c r="Y6" s="53">
        <f t="shared" si="1"/>
        <v>46265</v>
      </c>
      <c r="Z6" s="53">
        <f t="shared" si="1"/>
        <v>46266</v>
      </c>
      <c r="AA6" s="53">
        <f t="shared" si="1"/>
        <v>46267</v>
      </c>
      <c r="AB6" s="53">
        <f t="shared" si="1"/>
        <v>46268</v>
      </c>
      <c r="AC6" s="53">
        <f t="shared" si="1"/>
        <v>46269</v>
      </c>
      <c r="AD6" s="53">
        <f t="shared" si="1"/>
        <v>46272</v>
      </c>
      <c r="AE6" s="53">
        <f t="shared" si="1"/>
        <v>46273</v>
      </c>
      <c r="AF6" s="53">
        <f t="shared" si="1"/>
        <v>46274</v>
      </c>
      <c r="AG6" s="53">
        <f t="shared" si="1"/>
        <v>46275</v>
      </c>
      <c r="AH6" s="53">
        <f t="shared" si="1"/>
        <v>46276</v>
      </c>
      <c r="AI6" s="53">
        <f t="shared" si="1"/>
        <v>46279</v>
      </c>
      <c r="AJ6" s="53">
        <f t="shared" si="1"/>
        <v>46280</v>
      </c>
      <c r="AK6" s="53">
        <f t="shared" si="1"/>
        <v>46281</v>
      </c>
      <c r="AL6" s="53">
        <f t="shared" si="1"/>
        <v>46282</v>
      </c>
      <c r="AM6" s="53">
        <f t="shared" si="1"/>
        <v>46283</v>
      </c>
      <c r="AN6" s="53">
        <f t="shared" si="1"/>
        <v>46286</v>
      </c>
      <c r="AO6" s="53">
        <f t="shared" si="1"/>
        <v>46287</v>
      </c>
      <c r="AP6" s="53">
        <f t="shared" si="1"/>
        <v>46288</v>
      </c>
      <c r="AQ6" s="53">
        <f t="shared" si="1"/>
        <v>46289</v>
      </c>
      <c r="AR6" s="53">
        <f t="shared" si="1"/>
        <v>46290</v>
      </c>
      <c r="AS6" s="53">
        <f t="shared" si="1"/>
        <v>46293</v>
      </c>
      <c r="AT6" s="53">
        <f t="shared" si="1"/>
        <v>46294</v>
      </c>
      <c r="AU6" s="53">
        <f t="shared" si="1"/>
        <v>46295</v>
      </c>
      <c r="AV6" s="53">
        <f t="shared" si="1"/>
        <v>46296</v>
      </c>
      <c r="AW6" s="53">
        <f t="shared" si="1"/>
        <v>46297</v>
      </c>
      <c r="AX6" s="53">
        <f t="shared" si="1"/>
        <v>46300</v>
      </c>
      <c r="AY6" s="53">
        <f t="shared" si="1"/>
        <v>46301</v>
      </c>
      <c r="AZ6" s="53">
        <f t="shared" si="1"/>
        <v>46302</v>
      </c>
      <c r="BA6" s="53">
        <f t="shared" si="1"/>
        <v>46303</v>
      </c>
      <c r="BB6" s="53">
        <f t="shared" si="1"/>
        <v>46304</v>
      </c>
      <c r="BC6" s="53">
        <f t="shared" si="1"/>
        <v>46307</v>
      </c>
      <c r="BD6" s="53">
        <f t="shared" si="1"/>
        <v>46308</v>
      </c>
      <c r="BE6" s="53">
        <f t="shared" si="1"/>
        <v>46309</v>
      </c>
      <c r="BF6" s="53">
        <f t="shared" si="1"/>
        <v>46310</v>
      </c>
      <c r="BG6" s="53">
        <f t="shared" si="1"/>
        <v>46311</v>
      </c>
      <c r="BH6" s="53">
        <f t="shared" si="1"/>
        <v>46314</v>
      </c>
      <c r="BI6" s="53">
        <f t="shared" si="1"/>
        <v>46315</v>
      </c>
      <c r="BJ6" s="53">
        <f t="shared" si="1"/>
        <v>46316</v>
      </c>
      <c r="BK6" s="53">
        <f t="shared" si="1"/>
        <v>46317</v>
      </c>
      <c r="BL6" s="53">
        <f t="shared" si="1"/>
        <v>46318</v>
      </c>
      <c r="BM6" s="53">
        <f t="shared" si="1"/>
        <v>46321</v>
      </c>
      <c r="BN6" s="53">
        <f t="shared" si="1"/>
        <v>46322</v>
      </c>
      <c r="BO6" s="53">
        <f t="shared" si="1"/>
        <v>46323</v>
      </c>
      <c r="BP6" s="53">
        <f t="shared" si="1"/>
        <v>46324</v>
      </c>
      <c r="BQ6" s="53">
        <f t="shared" si="1"/>
        <v>46325</v>
      </c>
      <c r="BR6" s="53">
        <f t="shared" si="1"/>
        <v>46328</v>
      </c>
      <c r="BS6" s="53">
        <f t="shared" si="1"/>
        <v>46329</v>
      </c>
      <c r="BT6" s="53">
        <f t="shared" si="1"/>
        <v>46330</v>
      </c>
      <c r="BU6" s="53">
        <f t="shared" si="1"/>
        <v>46331</v>
      </c>
      <c r="BV6" s="53">
        <f t="shared" si="1"/>
        <v>46332</v>
      </c>
      <c r="BW6" s="53">
        <f t="shared" si="1"/>
        <v>46335</v>
      </c>
      <c r="BX6" s="53">
        <f t="shared" si="1"/>
        <v>46336</v>
      </c>
      <c r="BY6" s="53">
        <f t="shared" si="1"/>
        <v>46337</v>
      </c>
      <c r="BZ6" s="53">
        <f t="shared" si="1"/>
        <v>46338</v>
      </c>
      <c r="CA6" s="53">
        <f t="shared" si="1"/>
        <v>46339</v>
      </c>
      <c r="CB6" s="53">
        <f t="shared" si="1"/>
        <v>46342</v>
      </c>
      <c r="CC6" s="53">
        <f t="shared" si="1"/>
        <v>46343</v>
      </c>
      <c r="CD6" s="53">
        <f t="shared" si="1"/>
        <v>46344</v>
      </c>
      <c r="CE6" s="53">
        <f t="shared" si="1"/>
        <v>46345</v>
      </c>
      <c r="CF6" s="53">
        <f t="shared" si="1"/>
        <v>46346</v>
      </c>
      <c r="CG6" s="53">
        <f t="shared" si="1"/>
        <v>46349</v>
      </c>
      <c r="CH6" s="53">
        <f t="shared" si="1"/>
        <v>46350</v>
      </c>
      <c r="CI6" s="53">
        <f t="shared" si="1"/>
        <v>46351</v>
      </c>
      <c r="CJ6" s="53">
        <f t="shared" si="1"/>
        <v>46352</v>
      </c>
      <c r="CK6" s="53">
        <f t="shared" si="1"/>
        <v>46353</v>
      </c>
      <c r="CL6" s="53">
        <f t="shared" si="1"/>
        <v>46356</v>
      </c>
      <c r="CM6" s="53">
        <f t="shared" si="1"/>
        <v>46357</v>
      </c>
      <c r="CN6" s="53">
        <f t="shared" si="1"/>
        <v>46358</v>
      </c>
      <c r="CO6" s="53">
        <f t="shared" si="1"/>
        <v>46359</v>
      </c>
      <c r="CP6" s="53">
        <f t="shared" si="1"/>
        <v>46360</v>
      </c>
      <c r="CQ6" s="53">
        <f t="shared" si="1"/>
        <v>46363</v>
      </c>
      <c r="CR6" s="73">
        <f t="shared" si="1"/>
        <v>46364</v>
      </c>
      <c r="CS6" s="73">
        <f t="shared" si="1"/>
        <v>46365</v>
      </c>
      <c r="CT6" s="73">
        <f t="shared" si="1"/>
        <v>46366</v>
      </c>
      <c r="CU6" s="73">
        <f t="shared" si="1"/>
        <v>46367</v>
      </c>
    </row>
    <row r="7" ht="19.5" customHeight="1">
      <c r="B7" s="23"/>
      <c r="C7" s="24"/>
      <c r="D7" s="24"/>
      <c r="E7" s="76"/>
      <c r="F7" s="76"/>
      <c r="G7" s="24"/>
      <c r="H7" s="24"/>
      <c r="I7" s="24"/>
      <c r="J7" s="28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30"/>
      <c r="AD7" s="31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30"/>
      <c r="AX7" s="33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30"/>
      <c r="BR7" s="35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30"/>
      <c r="CL7" s="36" t="s">
        <v>9</v>
      </c>
      <c r="CM7" s="29"/>
      <c r="CN7" s="29"/>
      <c r="CO7" s="29"/>
      <c r="CP7" s="29"/>
      <c r="CQ7" s="29"/>
      <c r="CR7" s="29"/>
      <c r="CS7" s="29"/>
      <c r="CT7" s="29"/>
      <c r="CU7" s="37"/>
    </row>
    <row r="8">
      <c r="B8" s="39" t="s">
        <v>10</v>
      </c>
      <c r="C8" s="40" t="s">
        <v>11</v>
      </c>
      <c r="D8" s="40" t="s">
        <v>12</v>
      </c>
      <c r="E8" s="88" t="s">
        <v>13</v>
      </c>
      <c r="F8" s="89" t="s">
        <v>13</v>
      </c>
      <c r="G8" s="46" t="s">
        <v>15</v>
      </c>
      <c r="H8" s="90" t="s">
        <v>46</v>
      </c>
      <c r="I8" s="48" t="s">
        <v>16</v>
      </c>
      <c r="J8" s="50" t="s">
        <v>17</v>
      </c>
      <c r="K8" s="51"/>
      <c r="L8" s="51"/>
      <c r="M8" s="51"/>
      <c r="N8" s="52"/>
      <c r="O8" s="50" t="s">
        <v>18</v>
      </c>
      <c r="P8" s="51"/>
      <c r="Q8" s="51"/>
      <c r="R8" s="51"/>
      <c r="S8" s="52"/>
      <c r="T8" s="50" t="s">
        <v>19</v>
      </c>
      <c r="U8" s="51"/>
      <c r="V8" s="51"/>
      <c r="W8" s="51"/>
      <c r="X8" s="52"/>
      <c r="Y8" s="50" t="s">
        <v>20</v>
      </c>
      <c r="Z8" s="51"/>
      <c r="AA8" s="51"/>
      <c r="AB8" s="51"/>
      <c r="AC8" s="52"/>
      <c r="AD8" s="54" t="s">
        <v>21</v>
      </c>
      <c r="AE8" s="51"/>
      <c r="AF8" s="51"/>
      <c r="AG8" s="51"/>
      <c r="AH8" s="52"/>
      <c r="AI8" s="54" t="s">
        <v>22</v>
      </c>
      <c r="AJ8" s="51"/>
      <c r="AK8" s="51"/>
      <c r="AL8" s="51"/>
      <c r="AM8" s="52"/>
      <c r="AN8" s="54" t="s">
        <v>23</v>
      </c>
      <c r="AO8" s="51"/>
      <c r="AP8" s="51"/>
      <c r="AQ8" s="51"/>
      <c r="AR8" s="52"/>
      <c r="AS8" s="54" t="s">
        <v>24</v>
      </c>
      <c r="AT8" s="51"/>
      <c r="AU8" s="51"/>
      <c r="AV8" s="51"/>
      <c r="AW8" s="52"/>
      <c r="AX8" s="55" t="s">
        <v>25</v>
      </c>
      <c r="AY8" s="51"/>
      <c r="AZ8" s="51"/>
      <c r="BA8" s="51"/>
      <c r="BB8" s="52"/>
      <c r="BC8" s="55" t="s">
        <v>26</v>
      </c>
      <c r="BD8" s="51"/>
      <c r="BE8" s="51"/>
      <c r="BF8" s="51"/>
      <c r="BG8" s="52"/>
      <c r="BH8" s="55" t="s">
        <v>27</v>
      </c>
      <c r="BI8" s="51"/>
      <c r="BJ8" s="51"/>
      <c r="BK8" s="51"/>
      <c r="BL8" s="52"/>
      <c r="BM8" s="55" t="s">
        <v>28</v>
      </c>
      <c r="BN8" s="51"/>
      <c r="BO8" s="51"/>
      <c r="BP8" s="51"/>
      <c r="BQ8" s="52"/>
      <c r="BR8" s="56" t="s">
        <v>29</v>
      </c>
      <c r="BS8" s="51"/>
      <c r="BT8" s="51"/>
      <c r="BU8" s="51"/>
      <c r="BV8" s="52"/>
      <c r="BW8" s="56" t="s">
        <v>30</v>
      </c>
      <c r="BX8" s="51"/>
      <c r="BY8" s="51"/>
      <c r="BZ8" s="51"/>
      <c r="CA8" s="52"/>
      <c r="CB8" s="56" t="s">
        <v>31</v>
      </c>
      <c r="CC8" s="51"/>
      <c r="CD8" s="51"/>
      <c r="CE8" s="51"/>
      <c r="CF8" s="52"/>
      <c r="CG8" s="56" t="s">
        <v>32</v>
      </c>
      <c r="CH8" s="51"/>
      <c r="CI8" s="51"/>
      <c r="CJ8" s="51"/>
      <c r="CK8" s="57"/>
      <c r="CL8" s="58" t="s">
        <v>33</v>
      </c>
      <c r="CM8" s="51"/>
      <c r="CN8" s="51"/>
      <c r="CO8" s="51"/>
      <c r="CP8" s="57"/>
      <c r="CQ8" s="104" t="s">
        <v>51</v>
      </c>
      <c r="CR8" s="51"/>
      <c r="CS8" s="51"/>
      <c r="CT8" s="51"/>
      <c r="CU8" s="52"/>
    </row>
    <row r="9" ht="19.5" customHeight="1">
      <c r="B9" s="60" t="s">
        <v>34</v>
      </c>
      <c r="C9" s="61" t="s">
        <v>34</v>
      </c>
      <c r="D9" s="61" t="s">
        <v>35</v>
      </c>
      <c r="E9" s="106" t="s">
        <v>36</v>
      </c>
      <c r="F9" s="107" t="s">
        <v>37</v>
      </c>
      <c r="G9" s="64" t="s">
        <v>38</v>
      </c>
      <c r="H9" s="108" t="s">
        <v>54</v>
      </c>
      <c r="I9" s="65" t="s">
        <v>39</v>
      </c>
      <c r="J9" s="66" t="s">
        <v>40</v>
      </c>
      <c r="K9" s="67" t="s">
        <v>41</v>
      </c>
      <c r="L9" s="67" t="s">
        <v>42</v>
      </c>
      <c r="M9" s="67" t="s">
        <v>43</v>
      </c>
      <c r="N9" s="67" t="s">
        <v>44</v>
      </c>
      <c r="O9" s="66" t="s">
        <v>40</v>
      </c>
      <c r="P9" s="67" t="s">
        <v>41</v>
      </c>
      <c r="Q9" s="67" t="s">
        <v>42</v>
      </c>
      <c r="R9" s="67" t="s">
        <v>43</v>
      </c>
      <c r="S9" s="67" t="s">
        <v>44</v>
      </c>
      <c r="T9" s="66" t="s">
        <v>40</v>
      </c>
      <c r="U9" s="67" t="s">
        <v>41</v>
      </c>
      <c r="V9" s="67" t="s">
        <v>42</v>
      </c>
      <c r="W9" s="67" t="s">
        <v>43</v>
      </c>
      <c r="X9" s="67" t="s">
        <v>44</v>
      </c>
      <c r="Y9" s="66" t="s">
        <v>40</v>
      </c>
      <c r="Z9" s="67" t="s">
        <v>41</v>
      </c>
      <c r="AA9" s="67" t="s">
        <v>42</v>
      </c>
      <c r="AB9" s="67" t="s">
        <v>43</v>
      </c>
      <c r="AC9" s="67" t="s">
        <v>44</v>
      </c>
      <c r="AD9" s="68" t="s">
        <v>40</v>
      </c>
      <c r="AE9" s="69" t="s">
        <v>41</v>
      </c>
      <c r="AF9" s="69" t="s">
        <v>42</v>
      </c>
      <c r="AG9" s="69" t="s">
        <v>43</v>
      </c>
      <c r="AH9" s="69" t="s">
        <v>44</v>
      </c>
      <c r="AI9" s="68" t="s">
        <v>40</v>
      </c>
      <c r="AJ9" s="69" t="s">
        <v>41</v>
      </c>
      <c r="AK9" s="69" t="s">
        <v>42</v>
      </c>
      <c r="AL9" s="69" t="s">
        <v>43</v>
      </c>
      <c r="AM9" s="69" t="s">
        <v>44</v>
      </c>
      <c r="AN9" s="68" t="s">
        <v>40</v>
      </c>
      <c r="AO9" s="69" t="s">
        <v>41</v>
      </c>
      <c r="AP9" s="69" t="s">
        <v>42</v>
      </c>
      <c r="AQ9" s="69" t="s">
        <v>43</v>
      </c>
      <c r="AR9" s="69" t="s">
        <v>44</v>
      </c>
      <c r="AS9" s="68" t="s">
        <v>40</v>
      </c>
      <c r="AT9" s="69" t="s">
        <v>41</v>
      </c>
      <c r="AU9" s="69" t="s">
        <v>42</v>
      </c>
      <c r="AV9" s="69" t="s">
        <v>43</v>
      </c>
      <c r="AW9" s="69" t="s">
        <v>44</v>
      </c>
      <c r="AX9" s="70" t="s">
        <v>40</v>
      </c>
      <c r="AY9" s="71" t="s">
        <v>41</v>
      </c>
      <c r="AZ9" s="71" t="s">
        <v>42</v>
      </c>
      <c r="BA9" s="71" t="s">
        <v>43</v>
      </c>
      <c r="BB9" s="71" t="s">
        <v>44</v>
      </c>
      <c r="BC9" s="70" t="s">
        <v>40</v>
      </c>
      <c r="BD9" s="71" t="s">
        <v>41</v>
      </c>
      <c r="BE9" s="71" t="s">
        <v>42</v>
      </c>
      <c r="BF9" s="71" t="s">
        <v>43</v>
      </c>
      <c r="BG9" s="71" t="s">
        <v>44</v>
      </c>
      <c r="BH9" s="70" t="s">
        <v>40</v>
      </c>
      <c r="BI9" s="71" t="s">
        <v>41</v>
      </c>
      <c r="BJ9" s="71" t="s">
        <v>42</v>
      </c>
      <c r="BK9" s="71" t="s">
        <v>43</v>
      </c>
      <c r="BL9" s="71" t="s">
        <v>44</v>
      </c>
      <c r="BM9" s="70" t="s">
        <v>40</v>
      </c>
      <c r="BN9" s="71" t="s">
        <v>41</v>
      </c>
      <c r="BO9" s="71" t="s">
        <v>42</v>
      </c>
      <c r="BP9" s="71" t="s">
        <v>43</v>
      </c>
      <c r="BQ9" s="71" t="s">
        <v>44</v>
      </c>
      <c r="BR9" s="72" t="s">
        <v>40</v>
      </c>
      <c r="BS9" s="74" t="s">
        <v>41</v>
      </c>
      <c r="BT9" s="74" t="s">
        <v>42</v>
      </c>
      <c r="BU9" s="74" t="s">
        <v>43</v>
      </c>
      <c r="BV9" s="74" t="s">
        <v>44</v>
      </c>
      <c r="BW9" s="72" t="s">
        <v>40</v>
      </c>
      <c r="BX9" s="74" t="s">
        <v>41</v>
      </c>
      <c r="BY9" s="74" t="s">
        <v>42</v>
      </c>
      <c r="BZ9" s="74" t="s">
        <v>43</v>
      </c>
      <c r="CA9" s="74" t="s">
        <v>44</v>
      </c>
      <c r="CB9" s="72" t="s">
        <v>40</v>
      </c>
      <c r="CC9" s="74" t="s">
        <v>41</v>
      </c>
      <c r="CD9" s="74" t="s">
        <v>42</v>
      </c>
      <c r="CE9" s="74" t="s">
        <v>43</v>
      </c>
      <c r="CF9" s="74" t="s">
        <v>44</v>
      </c>
      <c r="CG9" s="72" t="s">
        <v>40</v>
      </c>
      <c r="CH9" s="74" t="s">
        <v>41</v>
      </c>
      <c r="CI9" s="74" t="s">
        <v>42</v>
      </c>
      <c r="CJ9" s="74" t="s">
        <v>43</v>
      </c>
      <c r="CK9" s="74" t="s">
        <v>44</v>
      </c>
      <c r="CL9" s="75" t="s">
        <v>40</v>
      </c>
      <c r="CM9" s="77" t="s">
        <v>41</v>
      </c>
      <c r="CN9" s="77" t="s">
        <v>42</v>
      </c>
      <c r="CO9" s="77" t="s">
        <v>43</v>
      </c>
      <c r="CP9" s="77" t="s">
        <v>44</v>
      </c>
      <c r="CQ9" s="75" t="s">
        <v>40</v>
      </c>
      <c r="CR9" s="112" t="s">
        <v>41</v>
      </c>
      <c r="CS9" s="112" t="s">
        <v>42</v>
      </c>
      <c r="CT9" s="112" t="s">
        <v>43</v>
      </c>
      <c r="CU9" s="112" t="s">
        <v>44</v>
      </c>
    </row>
    <row r="10" ht="21.75" customHeight="1">
      <c r="B10" s="115" t="s">
        <v>64</v>
      </c>
      <c r="C10" s="117" t="s">
        <v>65</v>
      </c>
      <c r="D10" s="118" t="s">
        <v>66</v>
      </c>
      <c r="E10" s="119">
        <v>46244.0</v>
      </c>
      <c r="F10" s="119">
        <v>46266.0</v>
      </c>
      <c r="G10" s="120">
        <f t="shared" ref="G10:G65" si="3">IF(OR(E10="",F10=""),"",NETWORKDAYS(E10,F10))</f>
        <v>17</v>
      </c>
      <c r="H10" s="121" t="s">
        <v>69</v>
      </c>
      <c r="I10" s="122">
        <v>1.0</v>
      </c>
      <c r="J10" s="123">
        <f t="shared" ref="J10:CU10" si="2">IF(AND(J$6&gt;=$E10,J$6&lt;=$F10),IF(NETWORKDAYS($E10,J$6)&lt;=ROUNDUP(NETWORKDAYS($E10,$F10)*$I10,0),2,1),"")</f>
        <v>2</v>
      </c>
      <c r="K10" s="123">
        <f t="shared" si="2"/>
        <v>2</v>
      </c>
      <c r="L10" s="123">
        <f t="shared" si="2"/>
        <v>2</v>
      </c>
      <c r="M10" s="123">
        <f t="shared" si="2"/>
        <v>2</v>
      </c>
      <c r="N10" s="123">
        <f t="shared" si="2"/>
        <v>2</v>
      </c>
      <c r="O10" s="123">
        <f t="shared" si="2"/>
        <v>2</v>
      </c>
      <c r="P10" s="123">
        <f t="shared" si="2"/>
        <v>2</v>
      </c>
      <c r="Q10" s="123">
        <f t="shared" si="2"/>
        <v>2</v>
      </c>
      <c r="R10" s="123">
        <f t="shared" si="2"/>
        <v>2</v>
      </c>
      <c r="S10" s="123">
        <f t="shared" si="2"/>
        <v>2</v>
      </c>
      <c r="T10" s="123">
        <f t="shared" si="2"/>
        <v>2</v>
      </c>
      <c r="U10" s="123">
        <f t="shared" si="2"/>
        <v>2</v>
      </c>
      <c r="V10" s="123">
        <f t="shared" si="2"/>
        <v>2</v>
      </c>
      <c r="W10" s="123">
        <f t="shared" si="2"/>
        <v>2</v>
      </c>
      <c r="X10" s="123">
        <f t="shared" si="2"/>
        <v>2</v>
      </c>
      <c r="Y10" s="123">
        <f t="shared" si="2"/>
        <v>2</v>
      </c>
      <c r="Z10" s="123">
        <f t="shared" si="2"/>
        <v>2</v>
      </c>
      <c r="AA10" s="123" t="str">
        <f t="shared" si="2"/>
        <v/>
      </c>
      <c r="AB10" s="123" t="str">
        <f t="shared" si="2"/>
        <v/>
      </c>
      <c r="AC10" s="123" t="str">
        <f t="shared" si="2"/>
        <v/>
      </c>
      <c r="AD10" s="123" t="str">
        <f t="shared" si="2"/>
        <v/>
      </c>
      <c r="AE10" s="123" t="str">
        <f t="shared" si="2"/>
        <v/>
      </c>
      <c r="AF10" s="123" t="str">
        <f t="shared" si="2"/>
        <v/>
      </c>
      <c r="AG10" s="123" t="str">
        <f t="shared" si="2"/>
        <v/>
      </c>
      <c r="AH10" s="123" t="str">
        <f t="shared" si="2"/>
        <v/>
      </c>
      <c r="AI10" s="123" t="str">
        <f t="shared" si="2"/>
        <v/>
      </c>
      <c r="AJ10" s="123" t="str">
        <f t="shared" si="2"/>
        <v/>
      </c>
      <c r="AK10" s="123" t="str">
        <f t="shared" si="2"/>
        <v/>
      </c>
      <c r="AL10" s="123" t="str">
        <f t="shared" si="2"/>
        <v/>
      </c>
      <c r="AM10" s="123" t="str">
        <f t="shared" si="2"/>
        <v/>
      </c>
      <c r="AN10" s="123" t="str">
        <f t="shared" si="2"/>
        <v/>
      </c>
      <c r="AO10" s="123" t="str">
        <f t="shared" si="2"/>
        <v/>
      </c>
      <c r="AP10" s="123" t="str">
        <f t="shared" si="2"/>
        <v/>
      </c>
      <c r="AQ10" s="123" t="str">
        <f t="shared" si="2"/>
        <v/>
      </c>
      <c r="AR10" s="123" t="str">
        <f t="shared" si="2"/>
        <v/>
      </c>
      <c r="AS10" s="123" t="str">
        <f t="shared" si="2"/>
        <v/>
      </c>
      <c r="AT10" s="123" t="str">
        <f t="shared" si="2"/>
        <v/>
      </c>
      <c r="AU10" s="123" t="str">
        <f t="shared" si="2"/>
        <v/>
      </c>
      <c r="AV10" s="123" t="str">
        <f t="shared" si="2"/>
        <v/>
      </c>
      <c r="AW10" s="123" t="str">
        <f t="shared" si="2"/>
        <v/>
      </c>
      <c r="AX10" s="123" t="str">
        <f t="shared" si="2"/>
        <v/>
      </c>
      <c r="AY10" s="123" t="str">
        <f t="shared" si="2"/>
        <v/>
      </c>
      <c r="AZ10" s="123" t="str">
        <f t="shared" si="2"/>
        <v/>
      </c>
      <c r="BA10" s="123" t="str">
        <f t="shared" si="2"/>
        <v/>
      </c>
      <c r="BB10" s="123" t="str">
        <f t="shared" si="2"/>
        <v/>
      </c>
      <c r="BC10" s="123" t="str">
        <f t="shared" si="2"/>
        <v/>
      </c>
      <c r="BD10" s="123" t="str">
        <f t="shared" si="2"/>
        <v/>
      </c>
      <c r="BE10" s="123" t="str">
        <f t="shared" si="2"/>
        <v/>
      </c>
      <c r="BF10" s="123" t="str">
        <f t="shared" si="2"/>
        <v/>
      </c>
      <c r="BG10" s="123" t="str">
        <f t="shared" si="2"/>
        <v/>
      </c>
      <c r="BH10" s="123" t="str">
        <f t="shared" si="2"/>
        <v/>
      </c>
      <c r="BI10" s="123" t="str">
        <f t="shared" si="2"/>
        <v/>
      </c>
      <c r="BJ10" s="123" t="str">
        <f t="shared" si="2"/>
        <v/>
      </c>
      <c r="BK10" s="123" t="str">
        <f t="shared" si="2"/>
        <v/>
      </c>
      <c r="BL10" s="123" t="str">
        <f t="shared" si="2"/>
        <v/>
      </c>
      <c r="BM10" s="123" t="str">
        <f t="shared" si="2"/>
        <v/>
      </c>
      <c r="BN10" s="123" t="str">
        <f t="shared" si="2"/>
        <v/>
      </c>
      <c r="BO10" s="123" t="str">
        <f t="shared" si="2"/>
        <v/>
      </c>
      <c r="BP10" s="123" t="str">
        <f t="shared" si="2"/>
        <v/>
      </c>
      <c r="BQ10" s="123" t="str">
        <f t="shared" si="2"/>
        <v/>
      </c>
      <c r="BR10" s="123" t="str">
        <f t="shared" si="2"/>
        <v/>
      </c>
      <c r="BS10" s="123" t="str">
        <f t="shared" si="2"/>
        <v/>
      </c>
      <c r="BT10" s="123" t="str">
        <f t="shared" si="2"/>
        <v/>
      </c>
      <c r="BU10" s="123" t="str">
        <f t="shared" si="2"/>
        <v/>
      </c>
      <c r="BV10" s="123" t="str">
        <f t="shared" si="2"/>
        <v/>
      </c>
      <c r="BW10" s="123" t="str">
        <f t="shared" si="2"/>
        <v/>
      </c>
      <c r="BX10" s="123" t="str">
        <f t="shared" si="2"/>
        <v/>
      </c>
      <c r="BY10" s="123" t="str">
        <f t="shared" si="2"/>
        <v/>
      </c>
      <c r="BZ10" s="123" t="str">
        <f t="shared" si="2"/>
        <v/>
      </c>
      <c r="CA10" s="123" t="str">
        <f t="shared" si="2"/>
        <v/>
      </c>
      <c r="CB10" s="123" t="str">
        <f t="shared" si="2"/>
        <v/>
      </c>
      <c r="CC10" s="123" t="str">
        <f t="shared" si="2"/>
        <v/>
      </c>
      <c r="CD10" s="123" t="str">
        <f t="shared" si="2"/>
        <v/>
      </c>
      <c r="CE10" s="123" t="str">
        <f t="shared" si="2"/>
        <v/>
      </c>
      <c r="CF10" s="123" t="str">
        <f t="shared" si="2"/>
        <v/>
      </c>
      <c r="CG10" s="123" t="str">
        <f t="shared" si="2"/>
        <v/>
      </c>
      <c r="CH10" s="123" t="str">
        <f t="shared" si="2"/>
        <v/>
      </c>
      <c r="CI10" s="123" t="str">
        <f t="shared" si="2"/>
        <v/>
      </c>
      <c r="CJ10" s="123" t="str">
        <f t="shared" si="2"/>
        <v/>
      </c>
      <c r="CK10" s="123" t="str">
        <f t="shared" si="2"/>
        <v/>
      </c>
      <c r="CL10" s="123" t="str">
        <f t="shared" si="2"/>
        <v/>
      </c>
      <c r="CM10" s="123" t="str">
        <f t="shared" si="2"/>
        <v/>
      </c>
      <c r="CN10" s="123" t="str">
        <f t="shared" si="2"/>
        <v/>
      </c>
      <c r="CO10" s="123" t="str">
        <f t="shared" si="2"/>
        <v/>
      </c>
      <c r="CP10" s="123" t="str">
        <f t="shared" si="2"/>
        <v/>
      </c>
      <c r="CQ10" s="123" t="str">
        <f t="shared" si="2"/>
        <v/>
      </c>
      <c r="CR10" s="136" t="str">
        <f t="shared" si="2"/>
        <v/>
      </c>
      <c r="CS10" s="136" t="str">
        <f t="shared" si="2"/>
        <v/>
      </c>
      <c r="CT10" s="136" t="str">
        <f t="shared" si="2"/>
        <v/>
      </c>
      <c r="CU10" s="136" t="str">
        <f t="shared" si="2"/>
        <v/>
      </c>
    </row>
    <row r="11" ht="31.5" customHeight="1">
      <c r="B11" s="137" t="s">
        <v>47</v>
      </c>
      <c r="C11" s="138" t="s">
        <v>105</v>
      </c>
      <c r="D11" s="139" t="s">
        <v>108</v>
      </c>
      <c r="E11" s="140">
        <v>46244.0</v>
      </c>
      <c r="F11" s="140">
        <v>46244.0</v>
      </c>
      <c r="G11" s="141">
        <f t="shared" si="3"/>
        <v>1</v>
      </c>
      <c r="H11" s="142" t="s">
        <v>111</v>
      </c>
      <c r="I11" s="143">
        <v>1.0</v>
      </c>
      <c r="J11" s="144">
        <f t="shared" ref="J11:CU11" si="4">IF(AND(J$6&gt;=$E11,J$6&lt;=$F11),IF(NETWORKDAYS($E11,J$6)&lt;=ROUNDUP(NETWORKDAYS($E11,$F11)*$I11,0),2,1),"")</f>
        <v>2</v>
      </c>
      <c r="K11" s="144" t="str">
        <f t="shared" si="4"/>
        <v/>
      </c>
      <c r="L11" s="144" t="str">
        <f t="shared" si="4"/>
        <v/>
      </c>
      <c r="M11" s="144" t="str">
        <f t="shared" si="4"/>
        <v/>
      </c>
      <c r="N11" s="144" t="str">
        <f t="shared" si="4"/>
        <v/>
      </c>
      <c r="O11" s="146" t="str">
        <f t="shared" si="4"/>
        <v/>
      </c>
      <c r="P11" s="146" t="str">
        <f t="shared" si="4"/>
        <v/>
      </c>
      <c r="Q11" s="146" t="str">
        <f t="shared" si="4"/>
        <v/>
      </c>
      <c r="R11" s="146" t="str">
        <f t="shared" si="4"/>
        <v/>
      </c>
      <c r="S11" s="146" t="str">
        <f t="shared" si="4"/>
        <v/>
      </c>
      <c r="T11" s="144" t="str">
        <f t="shared" si="4"/>
        <v/>
      </c>
      <c r="U11" s="144" t="str">
        <f t="shared" si="4"/>
        <v/>
      </c>
      <c r="V11" s="144" t="str">
        <f t="shared" si="4"/>
        <v/>
      </c>
      <c r="W11" s="144" t="str">
        <f t="shared" si="4"/>
        <v/>
      </c>
      <c r="X11" s="144" t="str">
        <f t="shared" si="4"/>
        <v/>
      </c>
      <c r="Y11" s="147" t="str">
        <f t="shared" si="4"/>
        <v/>
      </c>
      <c r="Z11" s="147" t="str">
        <f t="shared" si="4"/>
        <v/>
      </c>
      <c r="AA11" s="147" t="str">
        <f t="shared" si="4"/>
        <v/>
      </c>
      <c r="AB11" s="147" t="str">
        <f t="shared" si="4"/>
        <v/>
      </c>
      <c r="AC11" s="147" t="str">
        <f t="shared" si="4"/>
        <v/>
      </c>
      <c r="AD11" s="144" t="str">
        <f t="shared" si="4"/>
        <v/>
      </c>
      <c r="AE11" s="144" t="str">
        <f t="shared" si="4"/>
        <v/>
      </c>
      <c r="AF11" s="144" t="str">
        <f t="shared" si="4"/>
        <v/>
      </c>
      <c r="AG11" s="144" t="str">
        <f t="shared" si="4"/>
        <v/>
      </c>
      <c r="AH11" s="144" t="str">
        <f t="shared" si="4"/>
        <v/>
      </c>
      <c r="AI11" s="148" t="str">
        <f t="shared" si="4"/>
        <v/>
      </c>
      <c r="AJ11" s="148" t="str">
        <f t="shared" si="4"/>
        <v/>
      </c>
      <c r="AK11" s="148" t="str">
        <f t="shared" si="4"/>
        <v/>
      </c>
      <c r="AL11" s="148" t="str">
        <f t="shared" si="4"/>
        <v/>
      </c>
      <c r="AM11" s="148" t="str">
        <f t="shared" si="4"/>
        <v/>
      </c>
      <c r="AN11" s="144" t="str">
        <f t="shared" si="4"/>
        <v/>
      </c>
      <c r="AO11" s="144" t="str">
        <f t="shared" si="4"/>
        <v/>
      </c>
      <c r="AP11" s="144" t="str">
        <f t="shared" si="4"/>
        <v/>
      </c>
      <c r="AQ11" s="144" t="str">
        <f t="shared" si="4"/>
        <v/>
      </c>
      <c r="AR11" s="144" t="str">
        <f t="shared" si="4"/>
        <v/>
      </c>
      <c r="AS11" s="148" t="str">
        <f t="shared" si="4"/>
        <v/>
      </c>
      <c r="AT11" s="148" t="str">
        <f t="shared" si="4"/>
        <v/>
      </c>
      <c r="AU11" s="148" t="str">
        <f t="shared" si="4"/>
        <v/>
      </c>
      <c r="AV11" s="148" t="str">
        <f t="shared" si="4"/>
        <v/>
      </c>
      <c r="AW11" s="148" t="str">
        <f t="shared" si="4"/>
        <v/>
      </c>
      <c r="AX11" s="144" t="str">
        <f t="shared" si="4"/>
        <v/>
      </c>
      <c r="AY11" s="144" t="str">
        <f t="shared" si="4"/>
        <v/>
      </c>
      <c r="AZ11" s="144" t="str">
        <f t="shared" si="4"/>
        <v/>
      </c>
      <c r="BA11" s="144" t="str">
        <f t="shared" si="4"/>
        <v/>
      </c>
      <c r="BB11" s="144" t="str">
        <f t="shared" si="4"/>
        <v/>
      </c>
      <c r="BC11" s="149" t="str">
        <f t="shared" si="4"/>
        <v/>
      </c>
      <c r="BD11" s="149" t="str">
        <f t="shared" si="4"/>
        <v/>
      </c>
      <c r="BE11" s="149" t="str">
        <f t="shared" si="4"/>
        <v/>
      </c>
      <c r="BF11" s="149" t="str">
        <f t="shared" si="4"/>
        <v/>
      </c>
      <c r="BG11" s="149" t="str">
        <f t="shared" si="4"/>
        <v/>
      </c>
      <c r="BH11" s="144" t="str">
        <f t="shared" si="4"/>
        <v/>
      </c>
      <c r="BI11" s="144" t="str">
        <f t="shared" si="4"/>
        <v/>
      </c>
      <c r="BJ11" s="144" t="str">
        <f t="shared" si="4"/>
        <v/>
      </c>
      <c r="BK11" s="144" t="str">
        <f t="shared" si="4"/>
        <v/>
      </c>
      <c r="BL11" s="144" t="str">
        <f t="shared" si="4"/>
        <v/>
      </c>
      <c r="BM11" s="149" t="str">
        <f t="shared" si="4"/>
        <v/>
      </c>
      <c r="BN11" s="149" t="str">
        <f t="shared" si="4"/>
        <v/>
      </c>
      <c r="BO11" s="149" t="str">
        <f t="shared" si="4"/>
        <v/>
      </c>
      <c r="BP11" s="149" t="str">
        <f t="shared" si="4"/>
        <v/>
      </c>
      <c r="BQ11" s="149" t="str">
        <f t="shared" si="4"/>
        <v/>
      </c>
      <c r="BR11" s="150" t="str">
        <f t="shared" si="4"/>
        <v/>
      </c>
      <c r="BS11" s="150" t="str">
        <f t="shared" si="4"/>
        <v/>
      </c>
      <c r="BT11" s="150" t="str">
        <f t="shared" si="4"/>
        <v/>
      </c>
      <c r="BU11" s="150" t="str">
        <f t="shared" si="4"/>
        <v/>
      </c>
      <c r="BV11" s="150" t="str">
        <f t="shared" si="4"/>
        <v/>
      </c>
      <c r="BW11" s="144" t="str">
        <f t="shared" si="4"/>
        <v/>
      </c>
      <c r="BX11" s="144" t="str">
        <f t="shared" si="4"/>
        <v/>
      </c>
      <c r="BY11" s="144" t="str">
        <f t="shared" si="4"/>
        <v/>
      </c>
      <c r="BZ11" s="144" t="str">
        <f t="shared" si="4"/>
        <v/>
      </c>
      <c r="CA11" s="144" t="str">
        <f t="shared" si="4"/>
        <v/>
      </c>
      <c r="CB11" s="150" t="str">
        <f t="shared" si="4"/>
        <v/>
      </c>
      <c r="CC11" s="150" t="str">
        <f t="shared" si="4"/>
        <v/>
      </c>
      <c r="CD11" s="150" t="str">
        <f t="shared" si="4"/>
        <v/>
      </c>
      <c r="CE11" s="150" t="str">
        <f t="shared" si="4"/>
        <v/>
      </c>
      <c r="CF11" s="150" t="str">
        <f t="shared" si="4"/>
        <v/>
      </c>
      <c r="CG11" s="144" t="str">
        <f t="shared" si="4"/>
        <v/>
      </c>
      <c r="CH11" s="144" t="str">
        <f t="shared" si="4"/>
        <v/>
      </c>
      <c r="CI11" s="144" t="str">
        <f t="shared" si="4"/>
        <v/>
      </c>
      <c r="CJ11" s="144" t="str">
        <f t="shared" si="4"/>
        <v/>
      </c>
      <c r="CK11" s="144" t="str">
        <f t="shared" si="4"/>
        <v/>
      </c>
      <c r="CL11" s="151" t="str">
        <f t="shared" si="4"/>
        <v/>
      </c>
      <c r="CM11" s="151" t="str">
        <f t="shared" si="4"/>
        <v/>
      </c>
      <c r="CN11" s="151" t="str">
        <f t="shared" si="4"/>
        <v/>
      </c>
      <c r="CO11" s="151" t="str">
        <f t="shared" si="4"/>
        <v/>
      </c>
      <c r="CP11" s="151" t="str">
        <f t="shared" si="4"/>
        <v/>
      </c>
      <c r="CQ11" s="151" t="str">
        <f t="shared" si="4"/>
        <v/>
      </c>
      <c r="CR11" s="152" t="str">
        <f t="shared" si="4"/>
        <v/>
      </c>
      <c r="CS11" s="152" t="str">
        <f t="shared" si="4"/>
        <v/>
      </c>
      <c r="CT11" s="152" t="str">
        <f t="shared" si="4"/>
        <v/>
      </c>
      <c r="CU11" s="152" t="str">
        <f t="shared" si="4"/>
        <v/>
      </c>
    </row>
    <row r="12" ht="31.5" customHeight="1">
      <c r="B12" s="153" t="s">
        <v>52</v>
      </c>
      <c r="C12" s="154" t="s">
        <v>112</v>
      </c>
      <c r="D12" s="139" t="s">
        <v>66</v>
      </c>
      <c r="E12" s="140">
        <v>46245.0</v>
      </c>
      <c r="F12" s="140">
        <v>46246.0</v>
      </c>
      <c r="G12" s="141">
        <f t="shared" si="3"/>
        <v>2</v>
      </c>
      <c r="H12" s="142" t="s">
        <v>112</v>
      </c>
      <c r="I12" s="143">
        <v>1.0</v>
      </c>
      <c r="J12" s="144" t="str">
        <f t="shared" ref="J12:CU12" si="5">IF(AND(J$6&gt;=$E12,J$6&lt;=$F12),IF(NETWORKDAYS($E12,J$6)&lt;=ROUNDUP(NETWORKDAYS($E12,$F12)*$I12,0),2,1),"")</f>
        <v/>
      </c>
      <c r="K12" s="144">
        <f t="shared" si="5"/>
        <v>2</v>
      </c>
      <c r="L12" s="144">
        <f t="shared" si="5"/>
        <v>2</v>
      </c>
      <c r="M12" s="144" t="str">
        <f t="shared" si="5"/>
        <v/>
      </c>
      <c r="N12" s="144" t="str">
        <f t="shared" si="5"/>
        <v/>
      </c>
      <c r="O12" s="146" t="str">
        <f t="shared" si="5"/>
        <v/>
      </c>
      <c r="P12" s="146" t="str">
        <f t="shared" si="5"/>
        <v/>
      </c>
      <c r="Q12" s="146" t="str">
        <f t="shared" si="5"/>
        <v/>
      </c>
      <c r="R12" s="146" t="str">
        <f t="shared" si="5"/>
        <v/>
      </c>
      <c r="S12" s="146" t="str">
        <f t="shared" si="5"/>
        <v/>
      </c>
      <c r="T12" s="144" t="str">
        <f t="shared" si="5"/>
        <v/>
      </c>
      <c r="U12" s="144" t="str">
        <f t="shared" si="5"/>
        <v/>
      </c>
      <c r="V12" s="144" t="str">
        <f t="shared" si="5"/>
        <v/>
      </c>
      <c r="W12" s="144" t="str">
        <f t="shared" si="5"/>
        <v/>
      </c>
      <c r="X12" s="144" t="str">
        <f t="shared" si="5"/>
        <v/>
      </c>
      <c r="Y12" s="147" t="str">
        <f t="shared" si="5"/>
        <v/>
      </c>
      <c r="Z12" s="147" t="str">
        <f t="shared" si="5"/>
        <v/>
      </c>
      <c r="AA12" s="147" t="str">
        <f t="shared" si="5"/>
        <v/>
      </c>
      <c r="AB12" s="147" t="str">
        <f t="shared" si="5"/>
        <v/>
      </c>
      <c r="AC12" s="147" t="str">
        <f t="shared" si="5"/>
        <v/>
      </c>
      <c r="AD12" s="144" t="str">
        <f t="shared" si="5"/>
        <v/>
      </c>
      <c r="AE12" s="144" t="str">
        <f t="shared" si="5"/>
        <v/>
      </c>
      <c r="AF12" s="144" t="str">
        <f t="shared" si="5"/>
        <v/>
      </c>
      <c r="AG12" s="144" t="str">
        <f t="shared" si="5"/>
        <v/>
      </c>
      <c r="AH12" s="144" t="str">
        <f t="shared" si="5"/>
        <v/>
      </c>
      <c r="AI12" s="148" t="str">
        <f t="shared" si="5"/>
        <v/>
      </c>
      <c r="AJ12" s="148" t="str">
        <f t="shared" si="5"/>
        <v/>
      </c>
      <c r="AK12" s="148" t="str">
        <f t="shared" si="5"/>
        <v/>
      </c>
      <c r="AL12" s="148" t="str">
        <f t="shared" si="5"/>
        <v/>
      </c>
      <c r="AM12" s="148" t="str">
        <f t="shared" si="5"/>
        <v/>
      </c>
      <c r="AN12" s="144" t="str">
        <f t="shared" si="5"/>
        <v/>
      </c>
      <c r="AO12" s="144" t="str">
        <f t="shared" si="5"/>
        <v/>
      </c>
      <c r="AP12" s="144" t="str">
        <f t="shared" si="5"/>
        <v/>
      </c>
      <c r="AQ12" s="144" t="str">
        <f t="shared" si="5"/>
        <v/>
      </c>
      <c r="AR12" s="144" t="str">
        <f t="shared" si="5"/>
        <v/>
      </c>
      <c r="AS12" s="148" t="str">
        <f t="shared" si="5"/>
        <v/>
      </c>
      <c r="AT12" s="148" t="str">
        <f t="shared" si="5"/>
        <v/>
      </c>
      <c r="AU12" s="148" t="str">
        <f t="shared" si="5"/>
        <v/>
      </c>
      <c r="AV12" s="148" t="str">
        <f t="shared" si="5"/>
        <v/>
      </c>
      <c r="AW12" s="148" t="str">
        <f t="shared" si="5"/>
        <v/>
      </c>
      <c r="AX12" s="144" t="str">
        <f t="shared" si="5"/>
        <v/>
      </c>
      <c r="AY12" s="144" t="str">
        <f t="shared" si="5"/>
        <v/>
      </c>
      <c r="AZ12" s="144" t="str">
        <f t="shared" si="5"/>
        <v/>
      </c>
      <c r="BA12" s="144" t="str">
        <f t="shared" si="5"/>
        <v/>
      </c>
      <c r="BB12" s="144" t="str">
        <f t="shared" si="5"/>
        <v/>
      </c>
      <c r="BC12" s="149" t="str">
        <f t="shared" si="5"/>
        <v/>
      </c>
      <c r="BD12" s="149" t="str">
        <f t="shared" si="5"/>
        <v/>
      </c>
      <c r="BE12" s="149" t="str">
        <f t="shared" si="5"/>
        <v/>
      </c>
      <c r="BF12" s="149" t="str">
        <f t="shared" si="5"/>
        <v/>
      </c>
      <c r="BG12" s="149" t="str">
        <f t="shared" si="5"/>
        <v/>
      </c>
      <c r="BH12" s="144" t="str">
        <f t="shared" si="5"/>
        <v/>
      </c>
      <c r="BI12" s="144" t="str">
        <f t="shared" si="5"/>
        <v/>
      </c>
      <c r="BJ12" s="144" t="str">
        <f t="shared" si="5"/>
        <v/>
      </c>
      <c r="BK12" s="144" t="str">
        <f t="shared" si="5"/>
        <v/>
      </c>
      <c r="BL12" s="144" t="str">
        <f t="shared" si="5"/>
        <v/>
      </c>
      <c r="BM12" s="149" t="str">
        <f t="shared" si="5"/>
        <v/>
      </c>
      <c r="BN12" s="149" t="str">
        <f t="shared" si="5"/>
        <v/>
      </c>
      <c r="BO12" s="149" t="str">
        <f t="shared" si="5"/>
        <v/>
      </c>
      <c r="BP12" s="149" t="str">
        <f t="shared" si="5"/>
        <v/>
      </c>
      <c r="BQ12" s="149" t="str">
        <f t="shared" si="5"/>
        <v/>
      </c>
      <c r="BR12" s="150" t="str">
        <f t="shared" si="5"/>
        <v/>
      </c>
      <c r="BS12" s="150" t="str">
        <f t="shared" si="5"/>
        <v/>
      </c>
      <c r="BT12" s="150" t="str">
        <f t="shared" si="5"/>
        <v/>
      </c>
      <c r="BU12" s="150" t="str">
        <f t="shared" si="5"/>
        <v/>
      </c>
      <c r="BV12" s="150" t="str">
        <f t="shared" si="5"/>
        <v/>
      </c>
      <c r="BW12" s="144" t="str">
        <f t="shared" si="5"/>
        <v/>
      </c>
      <c r="BX12" s="144" t="str">
        <f t="shared" si="5"/>
        <v/>
      </c>
      <c r="BY12" s="144" t="str">
        <f t="shared" si="5"/>
        <v/>
      </c>
      <c r="BZ12" s="144" t="str">
        <f t="shared" si="5"/>
        <v/>
      </c>
      <c r="CA12" s="144" t="str">
        <f t="shared" si="5"/>
        <v/>
      </c>
      <c r="CB12" s="150" t="str">
        <f t="shared" si="5"/>
        <v/>
      </c>
      <c r="CC12" s="150" t="str">
        <f t="shared" si="5"/>
        <v/>
      </c>
      <c r="CD12" s="150" t="str">
        <f t="shared" si="5"/>
        <v/>
      </c>
      <c r="CE12" s="150" t="str">
        <f t="shared" si="5"/>
        <v/>
      </c>
      <c r="CF12" s="150" t="str">
        <f t="shared" si="5"/>
        <v/>
      </c>
      <c r="CG12" s="144" t="str">
        <f t="shared" si="5"/>
        <v/>
      </c>
      <c r="CH12" s="144" t="str">
        <f t="shared" si="5"/>
        <v/>
      </c>
      <c r="CI12" s="144" t="str">
        <f t="shared" si="5"/>
        <v/>
      </c>
      <c r="CJ12" s="144" t="str">
        <f t="shared" si="5"/>
        <v/>
      </c>
      <c r="CK12" s="144" t="str">
        <f t="shared" si="5"/>
        <v/>
      </c>
      <c r="CL12" s="151" t="str">
        <f t="shared" si="5"/>
        <v/>
      </c>
      <c r="CM12" s="151" t="str">
        <f t="shared" si="5"/>
        <v/>
      </c>
      <c r="CN12" s="151" t="str">
        <f t="shared" si="5"/>
        <v/>
      </c>
      <c r="CO12" s="151" t="str">
        <f t="shared" si="5"/>
        <v/>
      </c>
      <c r="CP12" s="151" t="str">
        <f t="shared" si="5"/>
        <v/>
      </c>
      <c r="CQ12" s="151" t="str">
        <f t="shared" si="5"/>
        <v/>
      </c>
      <c r="CR12" s="152" t="str">
        <f t="shared" si="5"/>
        <v/>
      </c>
      <c r="CS12" s="152" t="str">
        <f t="shared" si="5"/>
        <v/>
      </c>
      <c r="CT12" s="152" t="str">
        <f t="shared" si="5"/>
        <v/>
      </c>
      <c r="CU12" s="152" t="str">
        <f t="shared" si="5"/>
        <v/>
      </c>
    </row>
    <row r="13" ht="31.5" customHeight="1">
      <c r="B13" s="153" t="s">
        <v>55</v>
      </c>
      <c r="C13" s="154" t="s">
        <v>113</v>
      </c>
      <c r="D13" s="139" t="s">
        <v>114</v>
      </c>
      <c r="E13" s="140">
        <v>46247.0</v>
      </c>
      <c r="F13" s="140">
        <v>46247.0</v>
      </c>
      <c r="G13" s="141">
        <f t="shared" si="3"/>
        <v>1</v>
      </c>
      <c r="H13" s="142" t="s">
        <v>115</v>
      </c>
      <c r="I13" s="143">
        <v>1.0</v>
      </c>
      <c r="J13" s="144" t="str">
        <f t="shared" ref="J13:CU13" si="6">IF(AND(J$6&gt;=$E13,J$6&lt;=$F13),IF(NETWORKDAYS($E13,J$6)&lt;=ROUNDUP(NETWORKDAYS($E13,$F13)*$I13,0),2,1),"")</f>
        <v/>
      </c>
      <c r="K13" s="144" t="str">
        <f t="shared" si="6"/>
        <v/>
      </c>
      <c r="L13" s="144" t="str">
        <f t="shared" si="6"/>
        <v/>
      </c>
      <c r="M13" s="144">
        <f t="shared" si="6"/>
        <v>2</v>
      </c>
      <c r="N13" s="144" t="str">
        <f t="shared" si="6"/>
        <v/>
      </c>
      <c r="O13" s="146" t="str">
        <f t="shared" si="6"/>
        <v/>
      </c>
      <c r="P13" s="146" t="str">
        <f t="shared" si="6"/>
        <v/>
      </c>
      <c r="Q13" s="146" t="str">
        <f t="shared" si="6"/>
        <v/>
      </c>
      <c r="R13" s="146" t="str">
        <f t="shared" si="6"/>
        <v/>
      </c>
      <c r="S13" s="146" t="str">
        <f t="shared" si="6"/>
        <v/>
      </c>
      <c r="T13" s="144" t="str">
        <f t="shared" si="6"/>
        <v/>
      </c>
      <c r="U13" s="144" t="str">
        <f t="shared" si="6"/>
        <v/>
      </c>
      <c r="V13" s="144" t="str">
        <f t="shared" si="6"/>
        <v/>
      </c>
      <c r="W13" s="144" t="str">
        <f t="shared" si="6"/>
        <v/>
      </c>
      <c r="X13" s="144" t="str">
        <f t="shared" si="6"/>
        <v/>
      </c>
      <c r="Y13" s="147" t="str">
        <f t="shared" si="6"/>
        <v/>
      </c>
      <c r="Z13" s="147" t="str">
        <f t="shared" si="6"/>
        <v/>
      </c>
      <c r="AA13" s="147" t="str">
        <f t="shared" si="6"/>
        <v/>
      </c>
      <c r="AB13" s="147" t="str">
        <f t="shared" si="6"/>
        <v/>
      </c>
      <c r="AC13" s="147" t="str">
        <f t="shared" si="6"/>
        <v/>
      </c>
      <c r="AD13" s="144" t="str">
        <f t="shared" si="6"/>
        <v/>
      </c>
      <c r="AE13" s="144" t="str">
        <f t="shared" si="6"/>
        <v/>
      </c>
      <c r="AF13" s="144" t="str">
        <f t="shared" si="6"/>
        <v/>
      </c>
      <c r="AG13" s="144" t="str">
        <f t="shared" si="6"/>
        <v/>
      </c>
      <c r="AH13" s="144" t="str">
        <f t="shared" si="6"/>
        <v/>
      </c>
      <c r="AI13" s="148" t="str">
        <f t="shared" si="6"/>
        <v/>
      </c>
      <c r="AJ13" s="148" t="str">
        <f t="shared" si="6"/>
        <v/>
      </c>
      <c r="AK13" s="148" t="str">
        <f t="shared" si="6"/>
        <v/>
      </c>
      <c r="AL13" s="148" t="str">
        <f t="shared" si="6"/>
        <v/>
      </c>
      <c r="AM13" s="148" t="str">
        <f t="shared" si="6"/>
        <v/>
      </c>
      <c r="AN13" s="144" t="str">
        <f t="shared" si="6"/>
        <v/>
      </c>
      <c r="AO13" s="144" t="str">
        <f t="shared" si="6"/>
        <v/>
      </c>
      <c r="AP13" s="144" t="str">
        <f t="shared" si="6"/>
        <v/>
      </c>
      <c r="AQ13" s="144" t="str">
        <f t="shared" si="6"/>
        <v/>
      </c>
      <c r="AR13" s="144" t="str">
        <f t="shared" si="6"/>
        <v/>
      </c>
      <c r="AS13" s="148" t="str">
        <f t="shared" si="6"/>
        <v/>
      </c>
      <c r="AT13" s="148" t="str">
        <f t="shared" si="6"/>
        <v/>
      </c>
      <c r="AU13" s="148" t="str">
        <f t="shared" si="6"/>
        <v/>
      </c>
      <c r="AV13" s="148" t="str">
        <f t="shared" si="6"/>
        <v/>
      </c>
      <c r="AW13" s="148" t="str">
        <f t="shared" si="6"/>
        <v/>
      </c>
      <c r="AX13" s="144" t="str">
        <f t="shared" si="6"/>
        <v/>
      </c>
      <c r="AY13" s="144" t="str">
        <f t="shared" si="6"/>
        <v/>
      </c>
      <c r="AZ13" s="144" t="str">
        <f t="shared" si="6"/>
        <v/>
      </c>
      <c r="BA13" s="144" t="str">
        <f t="shared" si="6"/>
        <v/>
      </c>
      <c r="BB13" s="144" t="str">
        <f t="shared" si="6"/>
        <v/>
      </c>
      <c r="BC13" s="149" t="str">
        <f t="shared" si="6"/>
        <v/>
      </c>
      <c r="BD13" s="149" t="str">
        <f t="shared" si="6"/>
        <v/>
      </c>
      <c r="BE13" s="149" t="str">
        <f t="shared" si="6"/>
        <v/>
      </c>
      <c r="BF13" s="149" t="str">
        <f t="shared" si="6"/>
        <v/>
      </c>
      <c r="BG13" s="149" t="str">
        <f t="shared" si="6"/>
        <v/>
      </c>
      <c r="BH13" s="144" t="str">
        <f t="shared" si="6"/>
        <v/>
      </c>
      <c r="BI13" s="144" t="str">
        <f t="shared" si="6"/>
        <v/>
      </c>
      <c r="BJ13" s="144" t="str">
        <f t="shared" si="6"/>
        <v/>
      </c>
      <c r="BK13" s="144" t="str">
        <f t="shared" si="6"/>
        <v/>
      </c>
      <c r="BL13" s="144" t="str">
        <f t="shared" si="6"/>
        <v/>
      </c>
      <c r="BM13" s="149" t="str">
        <f t="shared" si="6"/>
        <v/>
      </c>
      <c r="BN13" s="149" t="str">
        <f t="shared" si="6"/>
        <v/>
      </c>
      <c r="BO13" s="149" t="str">
        <f t="shared" si="6"/>
        <v/>
      </c>
      <c r="BP13" s="149" t="str">
        <f t="shared" si="6"/>
        <v/>
      </c>
      <c r="BQ13" s="149" t="str">
        <f t="shared" si="6"/>
        <v/>
      </c>
      <c r="BR13" s="150" t="str">
        <f t="shared" si="6"/>
        <v/>
      </c>
      <c r="BS13" s="150" t="str">
        <f t="shared" si="6"/>
        <v/>
      </c>
      <c r="BT13" s="150" t="str">
        <f t="shared" si="6"/>
        <v/>
      </c>
      <c r="BU13" s="150" t="str">
        <f t="shared" si="6"/>
        <v/>
      </c>
      <c r="BV13" s="150" t="str">
        <f t="shared" si="6"/>
        <v/>
      </c>
      <c r="BW13" s="144" t="str">
        <f t="shared" si="6"/>
        <v/>
      </c>
      <c r="BX13" s="144" t="str">
        <f t="shared" si="6"/>
        <v/>
      </c>
      <c r="BY13" s="144" t="str">
        <f t="shared" si="6"/>
        <v/>
      </c>
      <c r="BZ13" s="144" t="str">
        <f t="shared" si="6"/>
        <v/>
      </c>
      <c r="CA13" s="144" t="str">
        <f t="shared" si="6"/>
        <v/>
      </c>
      <c r="CB13" s="150" t="str">
        <f t="shared" si="6"/>
        <v/>
      </c>
      <c r="CC13" s="150" t="str">
        <f t="shared" si="6"/>
        <v/>
      </c>
      <c r="CD13" s="150" t="str">
        <f t="shared" si="6"/>
        <v/>
      </c>
      <c r="CE13" s="150" t="str">
        <f t="shared" si="6"/>
        <v/>
      </c>
      <c r="CF13" s="150" t="str">
        <f t="shared" si="6"/>
        <v/>
      </c>
      <c r="CG13" s="144" t="str">
        <f t="shared" si="6"/>
        <v/>
      </c>
      <c r="CH13" s="144" t="str">
        <f t="shared" si="6"/>
        <v/>
      </c>
      <c r="CI13" s="144" t="str">
        <f t="shared" si="6"/>
        <v/>
      </c>
      <c r="CJ13" s="144" t="str">
        <f t="shared" si="6"/>
        <v/>
      </c>
      <c r="CK13" s="144" t="str">
        <f t="shared" si="6"/>
        <v/>
      </c>
      <c r="CL13" s="151" t="str">
        <f t="shared" si="6"/>
        <v/>
      </c>
      <c r="CM13" s="151" t="str">
        <f t="shared" si="6"/>
        <v/>
      </c>
      <c r="CN13" s="151" t="str">
        <f t="shared" si="6"/>
        <v/>
      </c>
      <c r="CO13" s="151" t="str">
        <f t="shared" si="6"/>
        <v/>
      </c>
      <c r="CP13" s="151" t="str">
        <f t="shared" si="6"/>
        <v/>
      </c>
      <c r="CQ13" s="151" t="str">
        <f t="shared" si="6"/>
        <v/>
      </c>
      <c r="CR13" s="152" t="str">
        <f t="shared" si="6"/>
        <v/>
      </c>
      <c r="CS13" s="152" t="str">
        <f t="shared" si="6"/>
        <v/>
      </c>
      <c r="CT13" s="152" t="str">
        <f t="shared" si="6"/>
        <v/>
      </c>
      <c r="CU13" s="152" t="str">
        <f t="shared" si="6"/>
        <v/>
      </c>
    </row>
    <row r="14" ht="31.5" customHeight="1">
      <c r="B14" s="153" t="s">
        <v>57</v>
      </c>
      <c r="C14" s="154" t="s">
        <v>116</v>
      </c>
      <c r="D14" s="139" t="s">
        <v>114</v>
      </c>
      <c r="E14" s="140">
        <v>46248.0</v>
      </c>
      <c r="F14" s="140">
        <v>46266.0</v>
      </c>
      <c r="G14" s="141">
        <f t="shared" si="3"/>
        <v>13</v>
      </c>
      <c r="H14" s="142" t="s">
        <v>117</v>
      </c>
      <c r="I14" s="143">
        <v>1.0</v>
      </c>
      <c r="J14" s="144" t="str">
        <f t="shared" ref="J14:CU14" si="7">IF(AND(J$6&gt;=$E14,J$6&lt;=$F14),IF(NETWORKDAYS($E14,J$6)&lt;=ROUNDUP(NETWORKDAYS($E14,$F14)*$I14,0),2,1),"")</f>
        <v/>
      </c>
      <c r="K14" s="144" t="str">
        <f t="shared" si="7"/>
        <v/>
      </c>
      <c r="L14" s="144" t="str">
        <f t="shared" si="7"/>
        <v/>
      </c>
      <c r="M14" s="144" t="str">
        <f t="shared" si="7"/>
        <v/>
      </c>
      <c r="N14" s="144">
        <f t="shared" si="7"/>
        <v>2</v>
      </c>
      <c r="O14" s="146">
        <f t="shared" si="7"/>
        <v>2</v>
      </c>
      <c r="P14" s="146">
        <f t="shared" si="7"/>
        <v>2</v>
      </c>
      <c r="Q14" s="146">
        <f t="shared" si="7"/>
        <v>2</v>
      </c>
      <c r="R14" s="146">
        <f t="shared" si="7"/>
        <v>2</v>
      </c>
      <c r="S14" s="146">
        <f t="shared" si="7"/>
        <v>2</v>
      </c>
      <c r="T14" s="144">
        <f t="shared" si="7"/>
        <v>2</v>
      </c>
      <c r="U14" s="144">
        <f t="shared" si="7"/>
        <v>2</v>
      </c>
      <c r="V14" s="144">
        <f t="shared" si="7"/>
        <v>2</v>
      </c>
      <c r="W14" s="144">
        <f t="shared" si="7"/>
        <v>2</v>
      </c>
      <c r="X14" s="144">
        <f t="shared" si="7"/>
        <v>2</v>
      </c>
      <c r="Y14" s="147">
        <f t="shared" si="7"/>
        <v>2</v>
      </c>
      <c r="Z14" s="147">
        <f t="shared" si="7"/>
        <v>2</v>
      </c>
      <c r="AA14" s="147" t="str">
        <f t="shared" si="7"/>
        <v/>
      </c>
      <c r="AB14" s="147" t="str">
        <f t="shared" si="7"/>
        <v/>
      </c>
      <c r="AC14" s="147" t="str">
        <f t="shared" si="7"/>
        <v/>
      </c>
      <c r="AD14" s="144" t="str">
        <f t="shared" si="7"/>
        <v/>
      </c>
      <c r="AE14" s="144" t="str">
        <f t="shared" si="7"/>
        <v/>
      </c>
      <c r="AF14" s="144" t="str">
        <f t="shared" si="7"/>
        <v/>
      </c>
      <c r="AG14" s="144" t="str">
        <f t="shared" si="7"/>
        <v/>
      </c>
      <c r="AH14" s="144" t="str">
        <f t="shared" si="7"/>
        <v/>
      </c>
      <c r="AI14" s="148" t="str">
        <f t="shared" si="7"/>
        <v/>
      </c>
      <c r="AJ14" s="148" t="str">
        <f t="shared" si="7"/>
        <v/>
      </c>
      <c r="AK14" s="148" t="str">
        <f t="shared" si="7"/>
        <v/>
      </c>
      <c r="AL14" s="148" t="str">
        <f t="shared" si="7"/>
        <v/>
      </c>
      <c r="AM14" s="148" t="str">
        <f t="shared" si="7"/>
        <v/>
      </c>
      <c r="AN14" s="144" t="str">
        <f t="shared" si="7"/>
        <v/>
      </c>
      <c r="AO14" s="144" t="str">
        <f t="shared" si="7"/>
        <v/>
      </c>
      <c r="AP14" s="144" t="str">
        <f t="shared" si="7"/>
        <v/>
      </c>
      <c r="AQ14" s="144" t="str">
        <f t="shared" si="7"/>
        <v/>
      </c>
      <c r="AR14" s="144" t="str">
        <f t="shared" si="7"/>
        <v/>
      </c>
      <c r="AS14" s="148" t="str">
        <f t="shared" si="7"/>
        <v/>
      </c>
      <c r="AT14" s="148" t="str">
        <f t="shared" si="7"/>
        <v/>
      </c>
      <c r="AU14" s="148" t="str">
        <f t="shared" si="7"/>
        <v/>
      </c>
      <c r="AV14" s="148" t="str">
        <f t="shared" si="7"/>
        <v/>
      </c>
      <c r="AW14" s="148" t="str">
        <f t="shared" si="7"/>
        <v/>
      </c>
      <c r="AX14" s="144" t="str">
        <f t="shared" si="7"/>
        <v/>
      </c>
      <c r="AY14" s="144" t="str">
        <f t="shared" si="7"/>
        <v/>
      </c>
      <c r="AZ14" s="144" t="str">
        <f t="shared" si="7"/>
        <v/>
      </c>
      <c r="BA14" s="144" t="str">
        <f t="shared" si="7"/>
        <v/>
      </c>
      <c r="BB14" s="144" t="str">
        <f t="shared" si="7"/>
        <v/>
      </c>
      <c r="BC14" s="149" t="str">
        <f t="shared" si="7"/>
        <v/>
      </c>
      <c r="BD14" s="149" t="str">
        <f t="shared" si="7"/>
        <v/>
      </c>
      <c r="BE14" s="149" t="str">
        <f t="shared" si="7"/>
        <v/>
      </c>
      <c r="BF14" s="149" t="str">
        <f t="shared" si="7"/>
        <v/>
      </c>
      <c r="BG14" s="149" t="str">
        <f t="shared" si="7"/>
        <v/>
      </c>
      <c r="BH14" s="144" t="str">
        <f t="shared" si="7"/>
        <v/>
      </c>
      <c r="BI14" s="144" t="str">
        <f t="shared" si="7"/>
        <v/>
      </c>
      <c r="BJ14" s="144" t="str">
        <f t="shared" si="7"/>
        <v/>
      </c>
      <c r="BK14" s="144" t="str">
        <f t="shared" si="7"/>
        <v/>
      </c>
      <c r="BL14" s="144" t="str">
        <f t="shared" si="7"/>
        <v/>
      </c>
      <c r="BM14" s="149" t="str">
        <f t="shared" si="7"/>
        <v/>
      </c>
      <c r="BN14" s="149" t="str">
        <f t="shared" si="7"/>
        <v/>
      </c>
      <c r="BO14" s="149" t="str">
        <f t="shared" si="7"/>
        <v/>
      </c>
      <c r="BP14" s="149" t="str">
        <f t="shared" si="7"/>
        <v/>
      </c>
      <c r="BQ14" s="149" t="str">
        <f t="shared" si="7"/>
        <v/>
      </c>
      <c r="BR14" s="150" t="str">
        <f t="shared" si="7"/>
        <v/>
      </c>
      <c r="BS14" s="150" t="str">
        <f t="shared" si="7"/>
        <v/>
      </c>
      <c r="BT14" s="150" t="str">
        <f t="shared" si="7"/>
        <v/>
      </c>
      <c r="BU14" s="150" t="str">
        <f t="shared" si="7"/>
        <v/>
      </c>
      <c r="BV14" s="150" t="str">
        <f t="shared" si="7"/>
        <v/>
      </c>
      <c r="BW14" s="144" t="str">
        <f t="shared" si="7"/>
        <v/>
      </c>
      <c r="BX14" s="144" t="str">
        <f t="shared" si="7"/>
        <v/>
      </c>
      <c r="BY14" s="144" t="str">
        <f t="shared" si="7"/>
        <v/>
      </c>
      <c r="BZ14" s="144" t="str">
        <f t="shared" si="7"/>
        <v/>
      </c>
      <c r="CA14" s="144" t="str">
        <f t="shared" si="7"/>
        <v/>
      </c>
      <c r="CB14" s="150" t="str">
        <f t="shared" si="7"/>
        <v/>
      </c>
      <c r="CC14" s="150" t="str">
        <f t="shared" si="7"/>
        <v/>
      </c>
      <c r="CD14" s="150" t="str">
        <f t="shared" si="7"/>
        <v/>
      </c>
      <c r="CE14" s="150" t="str">
        <f t="shared" si="7"/>
        <v/>
      </c>
      <c r="CF14" s="150" t="str">
        <f t="shared" si="7"/>
        <v/>
      </c>
      <c r="CG14" s="144" t="str">
        <f t="shared" si="7"/>
        <v/>
      </c>
      <c r="CH14" s="144" t="str">
        <f t="shared" si="7"/>
        <v/>
      </c>
      <c r="CI14" s="144" t="str">
        <f t="shared" si="7"/>
        <v/>
      </c>
      <c r="CJ14" s="144" t="str">
        <f t="shared" si="7"/>
        <v/>
      </c>
      <c r="CK14" s="144" t="str">
        <f t="shared" si="7"/>
        <v/>
      </c>
      <c r="CL14" s="151" t="str">
        <f t="shared" si="7"/>
        <v/>
      </c>
      <c r="CM14" s="151" t="str">
        <f t="shared" si="7"/>
        <v/>
      </c>
      <c r="CN14" s="151" t="str">
        <f t="shared" si="7"/>
        <v/>
      </c>
      <c r="CO14" s="151" t="str">
        <f t="shared" si="7"/>
        <v/>
      </c>
      <c r="CP14" s="151" t="str">
        <f t="shared" si="7"/>
        <v/>
      </c>
      <c r="CQ14" s="151" t="str">
        <f t="shared" si="7"/>
        <v/>
      </c>
      <c r="CR14" s="152" t="str">
        <f t="shared" si="7"/>
        <v/>
      </c>
      <c r="CS14" s="152" t="str">
        <f t="shared" si="7"/>
        <v/>
      </c>
      <c r="CT14" s="152" t="str">
        <f t="shared" si="7"/>
        <v/>
      </c>
      <c r="CU14" s="152" t="str">
        <f t="shared" si="7"/>
        <v/>
      </c>
    </row>
    <row r="15" ht="31.5" customHeight="1">
      <c r="B15" s="137" t="s">
        <v>59</v>
      </c>
      <c r="C15" s="138" t="s">
        <v>118</v>
      </c>
      <c r="D15" s="139" t="s">
        <v>108</v>
      </c>
      <c r="E15" s="140">
        <v>46248.0</v>
      </c>
      <c r="F15" s="140">
        <v>46251.0</v>
      </c>
      <c r="G15" s="141">
        <f t="shared" si="3"/>
        <v>2</v>
      </c>
      <c r="H15" s="142" t="s">
        <v>119</v>
      </c>
      <c r="I15" s="143">
        <v>1.0</v>
      </c>
      <c r="J15" s="144" t="str">
        <f t="shared" ref="J15:CU15" si="8">IF(AND(J$6&gt;=$E15,J$6&lt;=$F15),IF(NETWORKDAYS($E15,J$6)&lt;=ROUNDUP(NETWORKDAYS($E15,$F15)*$I15,0),2,1),"")</f>
        <v/>
      </c>
      <c r="K15" s="144" t="str">
        <f t="shared" si="8"/>
        <v/>
      </c>
      <c r="L15" s="144" t="str">
        <f t="shared" si="8"/>
        <v/>
      </c>
      <c r="M15" s="144" t="str">
        <f t="shared" si="8"/>
        <v/>
      </c>
      <c r="N15" s="155">
        <f t="shared" si="8"/>
        <v>2</v>
      </c>
      <c r="O15" s="146">
        <f t="shared" si="8"/>
        <v>2</v>
      </c>
      <c r="P15" s="146" t="str">
        <f t="shared" si="8"/>
        <v/>
      </c>
      <c r="Q15" s="146" t="str">
        <f t="shared" si="8"/>
        <v/>
      </c>
      <c r="R15" s="146" t="str">
        <f t="shared" si="8"/>
        <v/>
      </c>
      <c r="S15" s="146" t="str">
        <f t="shared" si="8"/>
        <v/>
      </c>
      <c r="T15" s="144" t="str">
        <f t="shared" si="8"/>
        <v/>
      </c>
      <c r="U15" s="144" t="str">
        <f t="shared" si="8"/>
        <v/>
      </c>
      <c r="V15" s="144" t="str">
        <f t="shared" si="8"/>
        <v/>
      </c>
      <c r="W15" s="144" t="str">
        <f t="shared" si="8"/>
        <v/>
      </c>
      <c r="X15" s="144" t="str">
        <f t="shared" si="8"/>
        <v/>
      </c>
      <c r="Y15" s="147" t="str">
        <f t="shared" si="8"/>
        <v/>
      </c>
      <c r="Z15" s="147" t="str">
        <f t="shared" si="8"/>
        <v/>
      </c>
      <c r="AA15" s="147" t="str">
        <f t="shared" si="8"/>
        <v/>
      </c>
      <c r="AB15" s="147" t="str">
        <f t="shared" si="8"/>
        <v/>
      </c>
      <c r="AC15" s="147" t="str">
        <f t="shared" si="8"/>
        <v/>
      </c>
      <c r="AD15" s="144" t="str">
        <f t="shared" si="8"/>
        <v/>
      </c>
      <c r="AE15" s="144" t="str">
        <f t="shared" si="8"/>
        <v/>
      </c>
      <c r="AF15" s="144" t="str">
        <f t="shared" si="8"/>
        <v/>
      </c>
      <c r="AG15" s="144" t="str">
        <f t="shared" si="8"/>
        <v/>
      </c>
      <c r="AH15" s="144" t="str">
        <f t="shared" si="8"/>
        <v/>
      </c>
      <c r="AI15" s="148" t="str">
        <f t="shared" si="8"/>
        <v/>
      </c>
      <c r="AJ15" s="148" t="str">
        <f t="shared" si="8"/>
        <v/>
      </c>
      <c r="AK15" s="148" t="str">
        <f t="shared" si="8"/>
        <v/>
      </c>
      <c r="AL15" s="148" t="str">
        <f t="shared" si="8"/>
        <v/>
      </c>
      <c r="AM15" s="148" t="str">
        <f t="shared" si="8"/>
        <v/>
      </c>
      <c r="AN15" s="144" t="str">
        <f t="shared" si="8"/>
        <v/>
      </c>
      <c r="AO15" s="144" t="str">
        <f t="shared" si="8"/>
        <v/>
      </c>
      <c r="AP15" s="144" t="str">
        <f t="shared" si="8"/>
        <v/>
      </c>
      <c r="AQ15" s="144" t="str">
        <f t="shared" si="8"/>
        <v/>
      </c>
      <c r="AR15" s="144" t="str">
        <f t="shared" si="8"/>
        <v/>
      </c>
      <c r="AS15" s="148" t="str">
        <f t="shared" si="8"/>
        <v/>
      </c>
      <c r="AT15" s="148" t="str">
        <f t="shared" si="8"/>
        <v/>
      </c>
      <c r="AU15" s="148" t="str">
        <f t="shared" si="8"/>
        <v/>
      </c>
      <c r="AV15" s="148" t="str">
        <f t="shared" si="8"/>
        <v/>
      </c>
      <c r="AW15" s="148" t="str">
        <f t="shared" si="8"/>
        <v/>
      </c>
      <c r="AX15" s="144" t="str">
        <f t="shared" si="8"/>
        <v/>
      </c>
      <c r="AY15" s="144" t="str">
        <f t="shared" si="8"/>
        <v/>
      </c>
      <c r="AZ15" s="144" t="str">
        <f t="shared" si="8"/>
        <v/>
      </c>
      <c r="BA15" s="144" t="str">
        <f t="shared" si="8"/>
        <v/>
      </c>
      <c r="BB15" s="144" t="str">
        <f t="shared" si="8"/>
        <v/>
      </c>
      <c r="BC15" s="149" t="str">
        <f t="shared" si="8"/>
        <v/>
      </c>
      <c r="BD15" s="149" t="str">
        <f t="shared" si="8"/>
        <v/>
      </c>
      <c r="BE15" s="149" t="str">
        <f t="shared" si="8"/>
        <v/>
      </c>
      <c r="BF15" s="149" t="str">
        <f t="shared" si="8"/>
        <v/>
      </c>
      <c r="BG15" s="149" t="str">
        <f t="shared" si="8"/>
        <v/>
      </c>
      <c r="BH15" s="144" t="str">
        <f t="shared" si="8"/>
        <v/>
      </c>
      <c r="BI15" s="144" t="str">
        <f t="shared" si="8"/>
        <v/>
      </c>
      <c r="BJ15" s="144" t="str">
        <f t="shared" si="8"/>
        <v/>
      </c>
      <c r="BK15" s="144" t="str">
        <f t="shared" si="8"/>
        <v/>
      </c>
      <c r="BL15" s="144" t="str">
        <f t="shared" si="8"/>
        <v/>
      </c>
      <c r="BM15" s="149" t="str">
        <f t="shared" si="8"/>
        <v/>
      </c>
      <c r="BN15" s="149" t="str">
        <f t="shared" si="8"/>
        <v/>
      </c>
      <c r="BO15" s="149" t="str">
        <f t="shared" si="8"/>
        <v/>
      </c>
      <c r="BP15" s="149" t="str">
        <f t="shared" si="8"/>
        <v/>
      </c>
      <c r="BQ15" s="149" t="str">
        <f t="shared" si="8"/>
        <v/>
      </c>
      <c r="BR15" s="150" t="str">
        <f t="shared" si="8"/>
        <v/>
      </c>
      <c r="BS15" s="150" t="str">
        <f t="shared" si="8"/>
        <v/>
      </c>
      <c r="BT15" s="150" t="str">
        <f t="shared" si="8"/>
        <v/>
      </c>
      <c r="BU15" s="150" t="str">
        <f t="shared" si="8"/>
        <v/>
      </c>
      <c r="BV15" s="150" t="str">
        <f t="shared" si="8"/>
        <v/>
      </c>
      <c r="BW15" s="144" t="str">
        <f t="shared" si="8"/>
        <v/>
      </c>
      <c r="BX15" s="144" t="str">
        <f t="shared" si="8"/>
        <v/>
      </c>
      <c r="BY15" s="144" t="str">
        <f t="shared" si="8"/>
        <v/>
      </c>
      <c r="BZ15" s="144" t="str">
        <f t="shared" si="8"/>
        <v/>
      </c>
      <c r="CA15" s="144" t="str">
        <f t="shared" si="8"/>
        <v/>
      </c>
      <c r="CB15" s="150" t="str">
        <f t="shared" si="8"/>
        <v/>
      </c>
      <c r="CC15" s="150" t="str">
        <f t="shared" si="8"/>
        <v/>
      </c>
      <c r="CD15" s="150" t="str">
        <f t="shared" si="8"/>
        <v/>
      </c>
      <c r="CE15" s="150" t="str">
        <f t="shared" si="8"/>
        <v/>
      </c>
      <c r="CF15" s="150" t="str">
        <f t="shared" si="8"/>
        <v/>
      </c>
      <c r="CG15" s="144" t="str">
        <f t="shared" si="8"/>
        <v/>
      </c>
      <c r="CH15" s="144" t="str">
        <f t="shared" si="8"/>
        <v/>
      </c>
      <c r="CI15" s="144" t="str">
        <f t="shared" si="8"/>
        <v/>
      </c>
      <c r="CJ15" s="144" t="str">
        <f t="shared" si="8"/>
        <v/>
      </c>
      <c r="CK15" s="144" t="str">
        <f t="shared" si="8"/>
        <v/>
      </c>
      <c r="CL15" s="151" t="str">
        <f t="shared" si="8"/>
        <v/>
      </c>
      <c r="CM15" s="151" t="str">
        <f t="shared" si="8"/>
        <v/>
      </c>
      <c r="CN15" s="151" t="str">
        <f t="shared" si="8"/>
        <v/>
      </c>
      <c r="CO15" s="151" t="str">
        <f t="shared" si="8"/>
        <v/>
      </c>
      <c r="CP15" s="151" t="str">
        <f t="shared" si="8"/>
        <v/>
      </c>
      <c r="CQ15" s="151" t="str">
        <f t="shared" si="8"/>
        <v/>
      </c>
      <c r="CR15" s="152" t="str">
        <f t="shared" si="8"/>
        <v/>
      </c>
      <c r="CS15" s="152" t="str">
        <f t="shared" si="8"/>
        <v/>
      </c>
      <c r="CT15" s="152" t="str">
        <f t="shared" si="8"/>
        <v/>
      </c>
      <c r="CU15" s="152" t="str">
        <f t="shared" si="8"/>
        <v/>
      </c>
    </row>
    <row r="16" ht="31.5" customHeight="1">
      <c r="B16" s="153" t="s">
        <v>61</v>
      </c>
      <c r="C16" s="154" t="s">
        <v>120</v>
      </c>
      <c r="D16" s="139" t="s">
        <v>108</v>
      </c>
      <c r="E16" s="140">
        <v>46248.0</v>
      </c>
      <c r="F16" s="140">
        <v>46251.0</v>
      </c>
      <c r="G16" s="141">
        <f t="shared" si="3"/>
        <v>2</v>
      </c>
      <c r="H16" s="142" t="s">
        <v>121</v>
      </c>
      <c r="I16" s="143">
        <v>1.0</v>
      </c>
      <c r="J16" s="144" t="str">
        <f t="shared" ref="J16:CU16" si="9">IF(AND(J$6&gt;=$E16,J$6&lt;=$F16),IF(NETWORKDAYS($E16,J$6)&lt;=ROUNDUP(NETWORKDAYS($E16,$F16)*$I16,0),2,1),"")</f>
        <v/>
      </c>
      <c r="K16" s="144" t="str">
        <f t="shared" si="9"/>
        <v/>
      </c>
      <c r="L16" s="144" t="str">
        <f t="shared" si="9"/>
        <v/>
      </c>
      <c r="M16" s="144" t="str">
        <f t="shared" si="9"/>
        <v/>
      </c>
      <c r="N16" s="144">
        <f t="shared" si="9"/>
        <v>2</v>
      </c>
      <c r="O16" s="146">
        <f t="shared" si="9"/>
        <v>2</v>
      </c>
      <c r="P16" s="146" t="str">
        <f t="shared" si="9"/>
        <v/>
      </c>
      <c r="Q16" s="146" t="str">
        <f t="shared" si="9"/>
        <v/>
      </c>
      <c r="R16" s="146" t="str">
        <f t="shared" si="9"/>
        <v/>
      </c>
      <c r="S16" s="146" t="str">
        <f t="shared" si="9"/>
        <v/>
      </c>
      <c r="T16" s="144" t="str">
        <f t="shared" si="9"/>
        <v/>
      </c>
      <c r="U16" s="144" t="str">
        <f t="shared" si="9"/>
        <v/>
      </c>
      <c r="V16" s="144" t="str">
        <f t="shared" si="9"/>
        <v/>
      </c>
      <c r="W16" s="144" t="str">
        <f t="shared" si="9"/>
        <v/>
      </c>
      <c r="X16" s="144" t="str">
        <f t="shared" si="9"/>
        <v/>
      </c>
      <c r="Y16" s="147" t="str">
        <f t="shared" si="9"/>
        <v/>
      </c>
      <c r="Z16" s="147" t="str">
        <f t="shared" si="9"/>
        <v/>
      </c>
      <c r="AA16" s="147" t="str">
        <f t="shared" si="9"/>
        <v/>
      </c>
      <c r="AB16" s="147" t="str">
        <f t="shared" si="9"/>
        <v/>
      </c>
      <c r="AC16" s="147" t="str">
        <f t="shared" si="9"/>
        <v/>
      </c>
      <c r="AD16" s="144" t="str">
        <f t="shared" si="9"/>
        <v/>
      </c>
      <c r="AE16" s="144" t="str">
        <f t="shared" si="9"/>
        <v/>
      </c>
      <c r="AF16" s="144" t="str">
        <f t="shared" si="9"/>
        <v/>
      </c>
      <c r="AG16" s="144" t="str">
        <f t="shared" si="9"/>
        <v/>
      </c>
      <c r="AH16" s="144" t="str">
        <f t="shared" si="9"/>
        <v/>
      </c>
      <c r="AI16" s="148" t="str">
        <f t="shared" si="9"/>
        <v/>
      </c>
      <c r="AJ16" s="148" t="str">
        <f t="shared" si="9"/>
        <v/>
      </c>
      <c r="AK16" s="148" t="str">
        <f t="shared" si="9"/>
        <v/>
      </c>
      <c r="AL16" s="148" t="str">
        <f t="shared" si="9"/>
        <v/>
      </c>
      <c r="AM16" s="148" t="str">
        <f t="shared" si="9"/>
        <v/>
      </c>
      <c r="AN16" s="144" t="str">
        <f t="shared" si="9"/>
        <v/>
      </c>
      <c r="AO16" s="144" t="str">
        <f t="shared" si="9"/>
        <v/>
      </c>
      <c r="AP16" s="144" t="str">
        <f t="shared" si="9"/>
        <v/>
      </c>
      <c r="AQ16" s="144" t="str">
        <f t="shared" si="9"/>
        <v/>
      </c>
      <c r="AR16" s="144" t="str">
        <f t="shared" si="9"/>
        <v/>
      </c>
      <c r="AS16" s="148" t="str">
        <f t="shared" si="9"/>
        <v/>
      </c>
      <c r="AT16" s="148" t="str">
        <f t="shared" si="9"/>
        <v/>
      </c>
      <c r="AU16" s="148" t="str">
        <f t="shared" si="9"/>
        <v/>
      </c>
      <c r="AV16" s="148" t="str">
        <f t="shared" si="9"/>
        <v/>
      </c>
      <c r="AW16" s="148" t="str">
        <f t="shared" si="9"/>
        <v/>
      </c>
      <c r="AX16" s="144" t="str">
        <f t="shared" si="9"/>
        <v/>
      </c>
      <c r="AY16" s="144" t="str">
        <f t="shared" si="9"/>
        <v/>
      </c>
      <c r="AZ16" s="144" t="str">
        <f t="shared" si="9"/>
        <v/>
      </c>
      <c r="BA16" s="144" t="str">
        <f t="shared" si="9"/>
        <v/>
      </c>
      <c r="BB16" s="144" t="str">
        <f t="shared" si="9"/>
        <v/>
      </c>
      <c r="BC16" s="149" t="str">
        <f t="shared" si="9"/>
        <v/>
      </c>
      <c r="BD16" s="149" t="str">
        <f t="shared" si="9"/>
        <v/>
      </c>
      <c r="BE16" s="149" t="str">
        <f t="shared" si="9"/>
        <v/>
      </c>
      <c r="BF16" s="149" t="str">
        <f t="shared" si="9"/>
        <v/>
      </c>
      <c r="BG16" s="149" t="str">
        <f t="shared" si="9"/>
        <v/>
      </c>
      <c r="BH16" s="144" t="str">
        <f t="shared" si="9"/>
        <v/>
      </c>
      <c r="BI16" s="144" t="str">
        <f t="shared" si="9"/>
        <v/>
      </c>
      <c r="BJ16" s="144" t="str">
        <f t="shared" si="9"/>
        <v/>
      </c>
      <c r="BK16" s="144" t="str">
        <f t="shared" si="9"/>
        <v/>
      </c>
      <c r="BL16" s="144" t="str">
        <f t="shared" si="9"/>
        <v/>
      </c>
      <c r="BM16" s="149" t="str">
        <f t="shared" si="9"/>
        <v/>
      </c>
      <c r="BN16" s="149" t="str">
        <f t="shared" si="9"/>
        <v/>
      </c>
      <c r="BO16" s="149" t="str">
        <f t="shared" si="9"/>
        <v/>
      </c>
      <c r="BP16" s="149" t="str">
        <f t="shared" si="9"/>
        <v/>
      </c>
      <c r="BQ16" s="149" t="str">
        <f t="shared" si="9"/>
        <v/>
      </c>
      <c r="BR16" s="150" t="str">
        <f t="shared" si="9"/>
        <v/>
      </c>
      <c r="BS16" s="150" t="str">
        <f t="shared" si="9"/>
        <v/>
      </c>
      <c r="BT16" s="150" t="str">
        <f t="shared" si="9"/>
        <v/>
      </c>
      <c r="BU16" s="150" t="str">
        <f t="shared" si="9"/>
        <v/>
      </c>
      <c r="BV16" s="150" t="str">
        <f t="shared" si="9"/>
        <v/>
      </c>
      <c r="BW16" s="144" t="str">
        <f t="shared" si="9"/>
        <v/>
      </c>
      <c r="BX16" s="144" t="str">
        <f t="shared" si="9"/>
        <v/>
      </c>
      <c r="BY16" s="144" t="str">
        <f t="shared" si="9"/>
        <v/>
      </c>
      <c r="BZ16" s="144" t="str">
        <f t="shared" si="9"/>
        <v/>
      </c>
      <c r="CA16" s="144" t="str">
        <f t="shared" si="9"/>
        <v/>
      </c>
      <c r="CB16" s="150" t="str">
        <f t="shared" si="9"/>
        <v/>
      </c>
      <c r="CC16" s="150" t="str">
        <f t="shared" si="9"/>
        <v/>
      </c>
      <c r="CD16" s="150" t="str">
        <f t="shared" si="9"/>
        <v/>
      </c>
      <c r="CE16" s="150" t="str">
        <f t="shared" si="9"/>
        <v/>
      </c>
      <c r="CF16" s="150" t="str">
        <f t="shared" si="9"/>
        <v/>
      </c>
      <c r="CG16" s="144" t="str">
        <f t="shared" si="9"/>
        <v/>
      </c>
      <c r="CH16" s="144" t="str">
        <f t="shared" si="9"/>
        <v/>
      </c>
      <c r="CI16" s="144" t="str">
        <f t="shared" si="9"/>
        <v/>
      </c>
      <c r="CJ16" s="144" t="str">
        <f t="shared" si="9"/>
        <v/>
      </c>
      <c r="CK16" s="144" t="str">
        <f t="shared" si="9"/>
        <v/>
      </c>
      <c r="CL16" s="151" t="str">
        <f t="shared" si="9"/>
        <v/>
      </c>
      <c r="CM16" s="151" t="str">
        <f t="shared" si="9"/>
        <v/>
      </c>
      <c r="CN16" s="151" t="str">
        <f t="shared" si="9"/>
        <v/>
      </c>
      <c r="CO16" s="151" t="str">
        <f t="shared" si="9"/>
        <v/>
      </c>
      <c r="CP16" s="151" t="str">
        <f t="shared" si="9"/>
        <v/>
      </c>
      <c r="CQ16" s="151" t="str">
        <f t="shared" si="9"/>
        <v/>
      </c>
      <c r="CR16" s="152" t="str">
        <f t="shared" si="9"/>
        <v/>
      </c>
      <c r="CS16" s="152" t="str">
        <f t="shared" si="9"/>
        <v/>
      </c>
      <c r="CT16" s="152" t="str">
        <f t="shared" si="9"/>
        <v/>
      </c>
      <c r="CU16" s="152" t="str">
        <f t="shared" si="9"/>
        <v/>
      </c>
    </row>
    <row r="17" ht="31.5" customHeight="1">
      <c r="B17" s="153" t="s">
        <v>122</v>
      </c>
      <c r="C17" s="154" t="s">
        <v>123</v>
      </c>
      <c r="D17" s="139" t="s">
        <v>108</v>
      </c>
      <c r="E17" s="140">
        <v>46249.0</v>
      </c>
      <c r="F17" s="140">
        <v>46263.0</v>
      </c>
      <c r="G17" s="141">
        <f t="shared" si="3"/>
        <v>10</v>
      </c>
      <c r="H17" s="142" t="s">
        <v>124</v>
      </c>
      <c r="I17" s="143">
        <v>1.0</v>
      </c>
      <c r="J17" s="144" t="str">
        <f t="shared" ref="J17:CU17" si="10">IF(AND(J$6&gt;=$E17,J$6&lt;=$F17),IF(NETWORKDAYS($E17,J$6)&lt;=ROUNDUP(NETWORKDAYS($E17,$F17)*$I17,0),2,1),"")</f>
        <v/>
      </c>
      <c r="K17" s="144" t="str">
        <f t="shared" si="10"/>
        <v/>
      </c>
      <c r="L17" s="144" t="str">
        <f t="shared" si="10"/>
        <v/>
      </c>
      <c r="M17" s="144" t="str">
        <f t="shared" si="10"/>
        <v/>
      </c>
      <c r="N17" s="144" t="str">
        <f t="shared" si="10"/>
        <v/>
      </c>
      <c r="O17" s="146">
        <f t="shared" si="10"/>
        <v>2</v>
      </c>
      <c r="P17" s="146">
        <f t="shared" si="10"/>
        <v>2</v>
      </c>
      <c r="Q17" s="146">
        <f t="shared" si="10"/>
        <v>2</v>
      </c>
      <c r="R17" s="146">
        <f t="shared" si="10"/>
        <v>2</v>
      </c>
      <c r="S17" s="146">
        <f t="shared" si="10"/>
        <v>2</v>
      </c>
      <c r="T17" s="144">
        <f t="shared" si="10"/>
        <v>2</v>
      </c>
      <c r="U17" s="144">
        <f t="shared" si="10"/>
        <v>2</v>
      </c>
      <c r="V17" s="144">
        <f t="shared" si="10"/>
        <v>2</v>
      </c>
      <c r="W17" s="144">
        <f t="shared" si="10"/>
        <v>2</v>
      </c>
      <c r="X17" s="144">
        <f t="shared" si="10"/>
        <v>2</v>
      </c>
      <c r="Y17" s="147" t="str">
        <f t="shared" si="10"/>
        <v/>
      </c>
      <c r="Z17" s="147" t="str">
        <f t="shared" si="10"/>
        <v/>
      </c>
      <c r="AA17" s="147" t="str">
        <f t="shared" si="10"/>
        <v/>
      </c>
      <c r="AB17" s="147" t="str">
        <f t="shared" si="10"/>
        <v/>
      </c>
      <c r="AC17" s="147" t="str">
        <f t="shared" si="10"/>
        <v/>
      </c>
      <c r="AD17" s="144" t="str">
        <f t="shared" si="10"/>
        <v/>
      </c>
      <c r="AE17" s="144" t="str">
        <f t="shared" si="10"/>
        <v/>
      </c>
      <c r="AF17" s="144" t="str">
        <f t="shared" si="10"/>
        <v/>
      </c>
      <c r="AG17" s="144" t="str">
        <f t="shared" si="10"/>
        <v/>
      </c>
      <c r="AH17" s="144" t="str">
        <f t="shared" si="10"/>
        <v/>
      </c>
      <c r="AI17" s="148" t="str">
        <f t="shared" si="10"/>
        <v/>
      </c>
      <c r="AJ17" s="148" t="str">
        <f t="shared" si="10"/>
        <v/>
      </c>
      <c r="AK17" s="148" t="str">
        <f t="shared" si="10"/>
        <v/>
      </c>
      <c r="AL17" s="148" t="str">
        <f t="shared" si="10"/>
        <v/>
      </c>
      <c r="AM17" s="148" t="str">
        <f t="shared" si="10"/>
        <v/>
      </c>
      <c r="AN17" s="144" t="str">
        <f t="shared" si="10"/>
        <v/>
      </c>
      <c r="AO17" s="144" t="str">
        <f t="shared" si="10"/>
        <v/>
      </c>
      <c r="AP17" s="144" t="str">
        <f t="shared" si="10"/>
        <v/>
      </c>
      <c r="AQ17" s="144" t="str">
        <f t="shared" si="10"/>
        <v/>
      </c>
      <c r="AR17" s="144" t="str">
        <f t="shared" si="10"/>
        <v/>
      </c>
      <c r="AS17" s="148" t="str">
        <f t="shared" si="10"/>
        <v/>
      </c>
      <c r="AT17" s="148" t="str">
        <f t="shared" si="10"/>
        <v/>
      </c>
      <c r="AU17" s="148" t="str">
        <f t="shared" si="10"/>
        <v/>
      </c>
      <c r="AV17" s="148" t="str">
        <f t="shared" si="10"/>
        <v/>
      </c>
      <c r="AW17" s="148" t="str">
        <f t="shared" si="10"/>
        <v/>
      </c>
      <c r="AX17" s="144" t="str">
        <f t="shared" si="10"/>
        <v/>
      </c>
      <c r="AY17" s="144" t="str">
        <f t="shared" si="10"/>
        <v/>
      </c>
      <c r="AZ17" s="144" t="str">
        <f t="shared" si="10"/>
        <v/>
      </c>
      <c r="BA17" s="144" t="str">
        <f t="shared" si="10"/>
        <v/>
      </c>
      <c r="BB17" s="144" t="str">
        <f t="shared" si="10"/>
        <v/>
      </c>
      <c r="BC17" s="149" t="str">
        <f t="shared" si="10"/>
        <v/>
      </c>
      <c r="BD17" s="149" t="str">
        <f t="shared" si="10"/>
        <v/>
      </c>
      <c r="BE17" s="149" t="str">
        <f t="shared" si="10"/>
        <v/>
      </c>
      <c r="BF17" s="149" t="str">
        <f t="shared" si="10"/>
        <v/>
      </c>
      <c r="BG17" s="149" t="str">
        <f t="shared" si="10"/>
        <v/>
      </c>
      <c r="BH17" s="144" t="str">
        <f t="shared" si="10"/>
        <v/>
      </c>
      <c r="BI17" s="144" t="str">
        <f t="shared" si="10"/>
        <v/>
      </c>
      <c r="BJ17" s="144" t="str">
        <f t="shared" si="10"/>
        <v/>
      </c>
      <c r="BK17" s="144" t="str">
        <f t="shared" si="10"/>
        <v/>
      </c>
      <c r="BL17" s="144" t="str">
        <f t="shared" si="10"/>
        <v/>
      </c>
      <c r="BM17" s="149" t="str">
        <f t="shared" si="10"/>
        <v/>
      </c>
      <c r="BN17" s="149" t="str">
        <f t="shared" si="10"/>
        <v/>
      </c>
      <c r="BO17" s="149" t="str">
        <f t="shared" si="10"/>
        <v/>
      </c>
      <c r="BP17" s="149" t="str">
        <f t="shared" si="10"/>
        <v/>
      </c>
      <c r="BQ17" s="149" t="str">
        <f t="shared" si="10"/>
        <v/>
      </c>
      <c r="BR17" s="150" t="str">
        <f t="shared" si="10"/>
        <v/>
      </c>
      <c r="BS17" s="150" t="str">
        <f t="shared" si="10"/>
        <v/>
      </c>
      <c r="BT17" s="150" t="str">
        <f t="shared" si="10"/>
        <v/>
      </c>
      <c r="BU17" s="150" t="str">
        <f t="shared" si="10"/>
        <v/>
      </c>
      <c r="BV17" s="150" t="str">
        <f t="shared" si="10"/>
        <v/>
      </c>
      <c r="BW17" s="144" t="str">
        <f t="shared" si="10"/>
        <v/>
      </c>
      <c r="BX17" s="144" t="str">
        <f t="shared" si="10"/>
        <v/>
      </c>
      <c r="BY17" s="144" t="str">
        <f t="shared" si="10"/>
        <v/>
      </c>
      <c r="BZ17" s="144" t="str">
        <f t="shared" si="10"/>
        <v/>
      </c>
      <c r="CA17" s="144" t="str">
        <f t="shared" si="10"/>
        <v/>
      </c>
      <c r="CB17" s="150" t="str">
        <f t="shared" si="10"/>
        <v/>
      </c>
      <c r="CC17" s="150" t="str">
        <f t="shared" si="10"/>
        <v/>
      </c>
      <c r="CD17" s="150" t="str">
        <f t="shared" si="10"/>
        <v/>
      </c>
      <c r="CE17" s="150" t="str">
        <f t="shared" si="10"/>
        <v/>
      </c>
      <c r="CF17" s="150" t="str">
        <f t="shared" si="10"/>
        <v/>
      </c>
      <c r="CG17" s="144" t="str">
        <f t="shared" si="10"/>
        <v/>
      </c>
      <c r="CH17" s="144" t="str">
        <f t="shared" si="10"/>
        <v/>
      </c>
      <c r="CI17" s="144" t="str">
        <f t="shared" si="10"/>
        <v/>
      </c>
      <c r="CJ17" s="144" t="str">
        <f t="shared" si="10"/>
        <v/>
      </c>
      <c r="CK17" s="144" t="str">
        <f t="shared" si="10"/>
        <v/>
      </c>
      <c r="CL17" s="151" t="str">
        <f t="shared" si="10"/>
        <v/>
      </c>
      <c r="CM17" s="151" t="str">
        <f t="shared" si="10"/>
        <v/>
      </c>
      <c r="CN17" s="151" t="str">
        <f t="shared" si="10"/>
        <v/>
      </c>
      <c r="CO17" s="151" t="str">
        <f t="shared" si="10"/>
        <v/>
      </c>
      <c r="CP17" s="151" t="str">
        <f t="shared" si="10"/>
        <v/>
      </c>
      <c r="CQ17" s="151" t="str">
        <f t="shared" si="10"/>
        <v/>
      </c>
      <c r="CR17" s="152" t="str">
        <f t="shared" si="10"/>
        <v/>
      </c>
      <c r="CS17" s="152" t="str">
        <f t="shared" si="10"/>
        <v/>
      </c>
      <c r="CT17" s="152" t="str">
        <f t="shared" si="10"/>
        <v/>
      </c>
      <c r="CU17" s="152" t="str">
        <f t="shared" si="10"/>
        <v/>
      </c>
    </row>
    <row r="18" ht="31.5" customHeight="1">
      <c r="B18" s="153" t="s">
        <v>125</v>
      </c>
      <c r="C18" s="154" t="s">
        <v>126</v>
      </c>
      <c r="D18" s="139" t="s">
        <v>114</v>
      </c>
      <c r="E18" s="140">
        <v>46259.0</v>
      </c>
      <c r="F18" s="140">
        <v>46266.0</v>
      </c>
      <c r="G18" s="141">
        <f t="shared" si="3"/>
        <v>6</v>
      </c>
      <c r="H18" s="142" t="s">
        <v>127</v>
      </c>
      <c r="I18" s="143">
        <v>1.0</v>
      </c>
      <c r="J18" s="144" t="str">
        <f t="shared" ref="J18:CU18" si="11">IF(AND(J$6&gt;=$E18,J$6&lt;=$F18),IF(NETWORKDAYS($E18,J$6)&lt;=ROUNDUP(NETWORKDAYS($E18,$F18)*$I18,0),2,1),"")</f>
        <v/>
      </c>
      <c r="K18" s="144" t="str">
        <f t="shared" si="11"/>
        <v/>
      </c>
      <c r="L18" s="144" t="str">
        <f t="shared" si="11"/>
        <v/>
      </c>
      <c r="M18" s="144" t="str">
        <f t="shared" si="11"/>
        <v/>
      </c>
      <c r="N18" s="144" t="str">
        <f t="shared" si="11"/>
        <v/>
      </c>
      <c r="O18" s="146" t="str">
        <f t="shared" si="11"/>
        <v/>
      </c>
      <c r="P18" s="146" t="str">
        <f t="shared" si="11"/>
        <v/>
      </c>
      <c r="Q18" s="146" t="str">
        <f t="shared" si="11"/>
        <v/>
      </c>
      <c r="R18" s="146" t="str">
        <f t="shared" si="11"/>
        <v/>
      </c>
      <c r="S18" s="146" t="str">
        <f t="shared" si="11"/>
        <v/>
      </c>
      <c r="T18" s="144" t="str">
        <f t="shared" si="11"/>
        <v/>
      </c>
      <c r="U18" s="144">
        <f t="shared" si="11"/>
        <v>2</v>
      </c>
      <c r="V18" s="144">
        <f t="shared" si="11"/>
        <v>2</v>
      </c>
      <c r="W18" s="144">
        <f t="shared" si="11"/>
        <v>2</v>
      </c>
      <c r="X18" s="144">
        <f t="shared" si="11"/>
        <v>2</v>
      </c>
      <c r="Y18" s="147">
        <f t="shared" si="11"/>
        <v>2</v>
      </c>
      <c r="Z18" s="147">
        <f t="shared" si="11"/>
        <v>2</v>
      </c>
      <c r="AA18" s="147" t="str">
        <f t="shared" si="11"/>
        <v/>
      </c>
      <c r="AB18" s="147" t="str">
        <f t="shared" si="11"/>
        <v/>
      </c>
      <c r="AC18" s="147" t="str">
        <f t="shared" si="11"/>
        <v/>
      </c>
      <c r="AD18" s="144" t="str">
        <f t="shared" si="11"/>
        <v/>
      </c>
      <c r="AE18" s="144" t="str">
        <f t="shared" si="11"/>
        <v/>
      </c>
      <c r="AF18" s="144" t="str">
        <f t="shared" si="11"/>
        <v/>
      </c>
      <c r="AG18" s="144" t="str">
        <f t="shared" si="11"/>
        <v/>
      </c>
      <c r="AH18" s="144" t="str">
        <f t="shared" si="11"/>
        <v/>
      </c>
      <c r="AI18" s="148" t="str">
        <f t="shared" si="11"/>
        <v/>
      </c>
      <c r="AJ18" s="148" t="str">
        <f t="shared" si="11"/>
        <v/>
      </c>
      <c r="AK18" s="148" t="str">
        <f t="shared" si="11"/>
        <v/>
      </c>
      <c r="AL18" s="148" t="str">
        <f t="shared" si="11"/>
        <v/>
      </c>
      <c r="AM18" s="148" t="str">
        <f t="shared" si="11"/>
        <v/>
      </c>
      <c r="AN18" s="144" t="str">
        <f t="shared" si="11"/>
        <v/>
      </c>
      <c r="AO18" s="144" t="str">
        <f t="shared" si="11"/>
        <v/>
      </c>
      <c r="AP18" s="144" t="str">
        <f t="shared" si="11"/>
        <v/>
      </c>
      <c r="AQ18" s="144" t="str">
        <f t="shared" si="11"/>
        <v/>
      </c>
      <c r="AR18" s="144" t="str">
        <f t="shared" si="11"/>
        <v/>
      </c>
      <c r="AS18" s="148" t="str">
        <f t="shared" si="11"/>
        <v/>
      </c>
      <c r="AT18" s="148" t="str">
        <f t="shared" si="11"/>
        <v/>
      </c>
      <c r="AU18" s="148" t="str">
        <f t="shared" si="11"/>
        <v/>
      </c>
      <c r="AV18" s="148" t="str">
        <f t="shared" si="11"/>
        <v/>
      </c>
      <c r="AW18" s="148" t="str">
        <f t="shared" si="11"/>
        <v/>
      </c>
      <c r="AX18" s="144" t="str">
        <f t="shared" si="11"/>
        <v/>
      </c>
      <c r="AY18" s="144" t="str">
        <f t="shared" si="11"/>
        <v/>
      </c>
      <c r="AZ18" s="144" t="str">
        <f t="shared" si="11"/>
        <v/>
      </c>
      <c r="BA18" s="144" t="str">
        <f t="shared" si="11"/>
        <v/>
      </c>
      <c r="BB18" s="144" t="str">
        <f t="shared" si="11"/>
        <v/>
      </c>
      <c r="BC18" s="149" t="str">
        <f t="shared" si="11"/>
        <v/>
      </c>
      <c r="BD18" s="149" t="str">
        <f t="shared" si="11"/>
        <v/>
      </c>
      <c r="BE18" s="149" t="str">
        <f t="shared" si="11"/>
        <v/>
      </c>
      <c r="BF18" s="149" t="str">
        <f t="shared" si="11"/>
        <v/>
      </c>
      <c r="BG18" s="149" t="str">
        <f t="shared" si="11"/>
        <v/>
      </c>
      <c r="BH18" s="144" t="str">
        <f t="shared" si="11"/>
        <v/>
      </c>
      <c r="BI18" s="144" t="str">
        <f t="shared" si="11"/>
        <v/>
      </c>
      <c r="BJ18" s="144" t="str">
        <f t="shared" si="11"/>
        <v/>
      </c>
      <c r="BK18" s="144" t="str">
        <f t="shared" si="11"/>
        <v/>
      </c>
      <c r="BL18" s="144" t="str">
        <f t="shared" si="11"/>
        <v/>
      </c>
      <c r="BM18" s="149" t="str">
        <f t="shared" si="11"/>
        <v/>
      </c>
      <c r="BN18" s="149" t="str">
        <f t="shared" si="11"/>
        <v/>
      </c>
      <c r="BO18" s="149" t="str">
        <f t="shared" si="11"/>
        <v/>
      </c>
      <c r="BP18" s="149" t="str">
        <f t="shared" si="11"/>
        <v/>
      </c>
      <c r="BQ18" s="149" t="str">
        <f t="shared" si="11"/>
        <v/>
      </c>
      <c r="BR18" s="150" t="str">
        <f t="shared" si="11"/>
        <v/>
      </c>
      <c r="BS18" s="150" t="str">
        <f t="shared" si="11"/>
        <v/>
      </c>
      <c r="BT18" s="150" t="str">
        <f t="shared" si="11"/>
        <v/>
      </c>
      <c r="BU18" s="150" t="str">
        <f t="shared" si="11"/>
        <v/>
      </c>
      <c r="BV18" s="150" t="str">
        <f t="shared" si="11"/>
        <v/>
      </c>
      <c r="BW18" s="144" t="str">
        <f t="shared" si="11"/>
        <v/>
      </c>
      <c r="BX18" s="144" t="str">
        <f t="shared" si="11"/>
        <v/>
      </c>
      <c r="BY18" s="144" t="str">
        <f t="shared" si="11"/>
        <v/>
      </c>
      <c r="BZ18" s="144" t="str">
        <f t="shared" si="11"/>
        <v/>
      </c>
      <c r="CA18" s="144" t="str">
        <f t="shared" si="11"/>
        <v/>
      </c>
      <c r="CB18" s="150" t="str">
        <f t="shared" si="11"/>
        <v/>
      </c>
      <c r="CC18" s="150" t="str">
        <f t="shared" si="11"/>
        <v/>
      </c>
      <c r="CD18" s="150" t="str">
        <f t="shared" si="11"/>
        <v/>
      </c>
      <c r="CE18" s="150" t="str">
        <f t="shared" si="11"/>
        <v/>
      </c>
      <c r="CF18" s="150" t="str">
        <f t="shared" si="11"/>
        <v/>
      </c>
      <c r="CG18" s="144" t="str">
        <f t="shared" si="11"/>
        <v/>
      </c>
      <c r="CH18" s="144" t="str">
        <f t="shared" si="11"/>
        <v/>
      </c>
      <c r="CI18" s="144" t="str">
        <f t="shared" si="11"/>
        <v/>
      </c>
      <c r="CJ18" s="144" t="str">
        <f t="shared" si="11"/>
        <v/>
      </c>
      <c r="CK18" s="144" t="str">
        <f t="shared" si="11"/>
        <v/>
      </c>
      <c r="CL18" s="151" t="str">
        <f t="shared" si="11"/>
        <v/>
      </c>
      <c r="CM18" s="151" t="str">
        <f t="shared" si="11"/>
        <v/>
      </c>
      <c r="CN18" s="151" t="str">
        <f t="shared" si="11"/>
        <v/>
      </c>
      <c r="CO18" s="151" t="str">
        <f t="shared" si="11"/>
        <v/>
      </c>
      <c r="CP18" s="151" t="str">
        <f t="shared" si="11"/>
        <v/>
      </c>
      <c r="CQ18" s="151" t="str">
        <f t="shared" si="11"/>
        <v/>
      </c>
      <c r="CR18" s="152" t="str">
        <f t="shared" si="11"/>
        <v/>
      </c>
      <c r="CS18" s="152" t="str">
        <f t="shared" si="11"/>
        <v/>
      </c>
      <c r="CT18" s="152" t="str">
        <f t="shared" si="11"/>
        <v/>
      </c>
      <c r="CU18" s="152" t="str">
        <f t="shared" si="11"/>
        <v/>
      </c>
    </row>
    <row r="19" ht="31.5" customHeight="1">
      <c r="B19" s="137" t="s">
        <v>128</v>
      </c>
      <c r="C19" s="138" t="s">
        <v>129</v>
      </c>
      <c r="D19" s="139" t="s">
        <v>108</v>
      </c>
      <c r="E19" s="140">
        <v>46258.0</v>
      </c>
      <c r="F19" s="140">
        <v>46266.0</v>
      </c>
      <c r="G19" s="141">
        <f t="shared" si="3"/>
        <v>7</v>
      </c>
      <c r="H19" s="142" t="s">
        <v>130</v>
      </c>
      <c r="I19" s="143">
        <v>1.0</v>
      </c>
      <c r="J19" s="144" t="str">
        <f t="shared" ref="J19:CU19" si="12">IF(AND(J$6&gt;=$E19,J$6&lt;=$F19),IF(NETWORKDAYS($E19,J$6)&lt;=ROUNDUP(NETWORKDAYS($E19,$F19)*$I19,0),2,1),"")</f>
        <v/>
      </c>
      <c r="K19" s="144" t="str">
        <f t="shared" si="12"/>
        <v/>
      </c>
      <c r="L19" s="144" t="str">
        <f t="shared" si="12"/>
        <v/>
      </c>
      <c r="M19" s="144" t="str">
        <f t="shared" si="12"/>
        <v/>
      </c>
      <c r="N19" s="144" t="str">
        <f t="shared" si="12"/>
        <v/>
      </c>
      <c r="O19" s="146" t="str">
        <f t="shared" si="12"/>
        <v/>
      </c>
      <c r="P19" s="146" t="str">
        <f t="shared" si="12"/>
        <v/>
      </c>
      <c r="Q19" s="146" t="str">
        <f t="shared" si="12"/>
        <v/>
      </c>
      <c r="R19" s="146" t="str">
        <f t="shared" si="12"/>
        <v/>
      </c>
      <c r="S19" s="146" t="str">
        <f t="shared" si="12"/>
        <v/>
      </c>
      <c r="T19" s="144">
        <f t="shared" si="12"/>
        <v>2</v>
      </c>
      <c r="U19" s="144">
        <f t="shared" si="12"/>
        <v>2</v>
      </c>
      <c r="V19" s="144">
        <f t="shared" si="12"/>
        <v>2</v>
      </c>
      <c r="W19" s="144">
        <f t="shared" si="12"/>
        <v>2</v>
      </c>
      <c r="X19" s="144">
        <f t="shared" si="12"/>
        <v>2</v>
      </c>
      <c r="Y19" s="147">
        <f t="shared" si="12"/>
        <v>2</v>
      </c>
      <c r="Z19" s="147">
        <f t="shared" si="12"/>
        <v>2</v>
      </c>
      <c r="AA19" s="147" t="str">
        <f t="shared" si="12"/>
        <v/>
      </c>
      <c r="AB19" s="147" t="str">
        <f t="shared" si="12"/>
        <v/>
      </c>
      <c r="AC19" s="147" t="str">
        <f t="shared" si="12"/>
        <v/>
      </c>
      <c r="AD19" s="144" t="str">
        <f t="shared" si="12"/>
        <v/>
      </c>
      <c r="AE19" s="144" t="str">
        <f t="shared" si="12"/>
        <v/>
      </c>
      <c r="AF19" s="144" t="str">
        <f t="shared" si="12"/>
        <v/>
      </c>
      <c r="AG19" s="144" t="str">
        <f t="shared" si="12"/>
        <v/>
      </c>
      <c r="AH19" s="144" t="str">
        <f t="shared" si="12"/>
        <v/>
      </c>
      <c r="AI19" s="148" t="str">
        <f t="shared" si="12"/>
        <v/>
      </c>
      <c r="AJ19" s="148" t="str">
        <f t="shared" si="12"/>
        <v/>
      </c>
      <c r="AK19" s="148" t="str">
        <f t="shared" si="12"/>
        <v/>
      </c>
      <c r="AL19" s="148" t="str">
        <f t="shared" si="12"/>
        <v/>
      </c>
      <c r="AM19" s="148" t="str">
        <f t="shared" si="12"/>
        <v/>
      </c>
      <c r="AN19" s="144" t="str">
        <f t="shared" si="12"/>
        <v/>
      </c>
      <c r="AO19" s="144" t="str">
        <f t="shared" si="12"/>
        <v/>
      </c>
      <c r="AP19" s="144" t="str">
        <f t="shared" si="12"/>
        <v/>
      </c>
      <c r="AQ19" s="144" t="str">
        <f t="shared" si="12"/>
        <v/>
      </c>
      <c r="AR19" s="144" t="str">
        <f t="shared" si="12"/>
        <v/>
      </c>
      <c r="AS19" s="148" t="str">
        <f t="shared" si="12"/>
        <v/>
      </c>
      <c r="AT19" s="148" t="str">
        <f t="shared" si="12"/>
        <v/>
      </c>
      <c r="AU19" s="148" t="str">
        <f t="shared" si="12"/>
        <v/>
      </c>
      <c r="AV19" s="148" t="str">
        <f t="shared" si="12"/>
        <v/>
      </c>
      <c r="AW19" s="148" t="str">
        <f t="shared" si="12"/>
        <v/>
      </c>
      <c r="AX19" s="144" t="str">
        <f t="shared" si="12"/>
        <v/>
      </c>
      <c r="AY19" s="144" t="str">
        <f t="shared" si="12"/>
        <v/>
      </c>
      <c r="AZ19" s="144" t="str">
        <f t="shared" si="12"/>
        <v/>
      </c>
      <c r="BA19" s="144" t="str">
        <f t="shared" si="12"/>
        <v/>
      </c>
      <c r="BB19" s="144" t="str">
        <f t="shared" si="12"/>
        <v/>
      </c>
      <c r="BC19" s="149" t="str">
        <f t="shared" si="12"/>
        <v/>
      </c>
      <c r="BD19" s="149" t="str">
        <f t="shared" si="12"/>
        <v/>
      </c>
      <c r="BE19" s="149" t="str">
        <f t="shared" si="12"/>
        <v/>
      </c>
      <c r="BF19" s="149" t="str">
        <f t="shared" si="12"/>
        <v/>
      </c>
      <c r="BG19" s="149" t="str">
        <f t="shared" si="12"/>
        <v/>
      </c>
      <c r="BH19" s="144" t="str">
        <f t="shared" si="12"/>
        <v/>
      </c>
      <c r="BI19" s="144" t="str">
        <f t="shared" si="12"/>
        <v/>
      </c>
      <c r="BJ19" s="144" t="str">
        <f t="shared" si="12"/>
        <v/>
      </c>
      <c r="BK19" s="144" t="str">
        <f t="shared" si="12"/>
        <v/>
      </c>
      <c r="BL19" s="144" t="str">
        <f t="shared" si="12"/>
        <v/>
      </c>
      <c r="BM19" s="149" t="str">
        <f t="shared" si="12"/>
        <v/>
      </c>
      <c r="BN19" s="149" t="str">
        <f t="shared" si="12"/>
        <v/>
      </c>
      <c r="BO19" s="149" t="str">
        <f t="shared" si="12"/>
        <v/>
      </c>
      <c r="BP19" s="149" t="str">
        <f t="shared" si="12"/>
        <v/>
      </c>
      <c r="BQ19" s="149" t="str">
        <f t="shared" si="12"/>
        <v/>
      </c>
      <c r="BR19" s="150" t="str">
        <f t="shared" si="12"/>
        <v/>
      </c>
      <c r="BS19" s="150" t="str">
        <f t="shared" si="12"/>
        <v/>
      </c>
      <c r="BT19" s="150" t="str">
        <f t="shared" si="12"/>
        <v/>
      </c>
      <c r="BU19" s="150" t="str">
        <f t="shared" si="12"/>
        <v/>
      </c>
      <c r="BV19" s="150" t="str">
        <f t="shared" si="12"/>
        <v/>
      </c>
      <c r="BW19" s="144" t="str">
        <f t="shared" si="12"/>
        <v/>
      </c>
      <c r="BX19" s="144" t="str">
        <f t="shared" si="12"/>
        <v/>
      </c>
      <c r="BY19" s="144" t="str">
        <f t="shared" si="12"/>
        <v/>
      </c>
      <c r="BZ19" s="144" t="str">
        <f t="shared" si="12"/>
        <v/>
      </c>
      <c r="CA19" s="144" t="str">
        <f t="shared" si="12"/>
        <v/>
      </c>
      <c r="CB19" s="150" t="str">
        <f t="shared" si="12"/>
        <v/>
      </c>
      <c r="CC19" s="150" t="str">
        <f t="shared" si="12"/>
        <v/>
      </c>
      <c r="CD19" s="150" t="str">
        <f t="shared" si="12"/>
        <v/>
      </c>
      <c r="CE19" s="150" t="str">
        <f t="shared" si="12"/>
        <v/>
      </c>
      <c r="CF19" s="150" t="str">
        <f t="shared" si="12"/>
        <v/>
      </c>
      <c r="CG19" s="144" t="str">
        <f t="shared" si="12"/>
        <v/>
      </c>
      <c r="CH19" s="144" t="str">
        <f t="shared" si="12"/>
        <v/>
      </c>
      <c r="CI19" s="144" t="str">
        <f t="shared" si="12"/>
        <v/>
      </c>
      <c r="CJ19" s="144" t="str">
        <f t="shared" si="12"/>
        <v/>
      </c>
      <c r="CK19" s="144" t="str">
        <f t="shared" si="12"/>
        <v/>
      </c>
      <c r="CL19" s="151" t="str">
        <f t="shared" si="12"/>
        <v/>
      </c>
      <c r="CM19" s="151" t="str">
        <f t="shared" si="12"/>
        <v/>
      </c>
      <c r="CN19" s="151" t="str">
        <f t="shared" si="12"/>
        <v/>
      </c>
      <c r="CO19" s="151" t="str">
        <f t="shared" si="12"/>
        <v/>
      </c>
      <c r="CP19" s="151" t="str">
        <f t="shared" si="12"/>
        <v/>
      </c>
      <c r="CQ19" s="151" t="str">
        <f t="shared" si="12"/>
        <v/>
      </c>
      <c r="CR19" s="152" t="str">
        <f t="shared" si="12"/>
        <v/>
      </c>
      <c r="CS19" s="152" t="str">
        <f t="shared" si="12"/>
        <v/>
      </c>
      <c r="CT19" s="152" t="str">
        <f t="shared" si="12"/>
        <v/>
      </c>
      <c r="CU19" s="152" t="str">
        <f t="shared" si="12"/>
        <v/>
      </c>
    </row>
    <row r="20" ht="31.5" customHeight="1">
      <c r="B20" s="153" t="s">
        <v>131</v>
      </c>
      <c r="C20" s="154" t="s">
        <v>132</v>
      </c>
      <c r="D20" s="139" t="s">
        <v>66</v>
      </c>
      <c r="E20" s="140">
        <v>46251.0</v>
      </c>
      <c r="F20" s="140">
        <v>46266.0</v>
      </c>
      <c r="G20" s="141">
        <f t="shared" si="3"/>
        <v>12</v>
      </c>
      <c r="H20" s="142" t="s">
        <v>133</v>
      </c>
      <c r="I20" s="143">
        <v>1.0</v>
      </c>
      <c r="J20" s="144" t="str">
        <f t="shared" ref="J20:CU20" si="13">IF(AND(J$6&gt;=$E20,J$6&lt;=$F20),IF(NETWORKDAYS($E20,J$6)&lt;=ROUNDUP(NETWORKDAYS($E20,$F20)*$I20,0),2,1),"")</f>
        <v/>
      </c>
      <c r="K20" s="144" t="str">
        <f t="shared" si="13"/>
        <v/>
      </c>
      <c r="L20" s="144" t="str">
        <f t="shared" si="13"/>
        <v/>
      </c>
      <c r="M20" s="144" t="str">
        <f t="shared" si="13"/>
        <v/>
      </c>
      <c r="N20" s="144" t="str">
        <f t="shared" si="13"/>
        <v/>
      </c>
      <c r="O20" s="146">
        <f t="shared" si="13"/>
        <v>2</v>
      </c>
      <c r="P20" s="146">
        <f t="shared" si="13"/>
        <v>2</v>
      </c>
      <c r="Q20" s="146">
        <f t="shared" si="13"/>
        <v>2</v>
      </c>
      <c r="R20" s="146">
        <f t="shared" si="13"/>
        <v>2</v>
      </c>
      <c r="S20" s="146">
        <f t="shared" si="13"/>
        <v>2</v>
      </c>
      <c r="T20" s="144">
        <f t="shared" si="13"/>
        <v>2</v>
      </c>
      <c r="U20" s="144">
        <f t="shared" si="13"/>
        <v>2</v>
      </c>
      <c r="V20" s="144">
        <f t="shared" si="13"/>
        <v>2</v>
      </c>
      <c r="W20" s="144">
        <f t="shared" si="13"/>
        <v>2</v>
      </c>
      <c r="X20" s="144">
        <f t="shared" si="13"/>
        <v>2</v>
      </c>
      <c r="Y20" s="147">
        <f t="shared" si="13"/>
        <v>2</v>
      </c>
      <c r="Z20" s="147">
        <f t="shared" si="13"/>
        <v>2</v>
      </c>
      <c r="AA20" s="147" t="str">
        <f t="shared" si="13"/>
        <v/>
      </c>
      <c r="AB20" s="147" t="str">
        <f t="shared" si="13"/>
        <v/>
      </c>
      <c r="AC20" s="147" t="str">
        <f t="shared" si="13"/>
        <v/>
      </c>
      <c r="AD20" s="144" t="str">
        <f t="shared" si="13"/>
        <v/>
      </c>
      <c r="AE20" s="144" t="str">
        <f t="shared" si="13"/>
        <v/>
      </c>
      <c r="AF20" s="144" t="str">
        <f t="shared" si="13"/>
        <v/>
      </c>
      <c r="AG20" s="144" t="str">
        <f t="shared" si="13"/>
        <v/>
      </c>
      <c r="AH20" s="144" t="str">
        <f t="shared" si="13"/>
        <v/>
      </c>
      <c r="AI20" s="148" t="str">
        <f t="shared" si="13"/>
        <v/>
      </c>
      <c r="AJ20" s="148" t="str">
        <f t="shared" si="13"/>
        <v/>
      </c>
      <c r="AK20" s="148" t="str">
        <f t="shared" si="13"/>
        <v/>
      </c>
      <c r="AL20" s="148" t="str">
        <f t="shared" si="13"/>
        <v/>
      </c>
      <c r="AM20" s="148" t="str">
        <f t="shared" si="13"/>
        <v/>
      </c>
      <c r="AN20" s="144" t="str">
        <f t="shared" si="13"/>
        <v/>
      </c>
      <c r="AO20" s="144" t="str">
        <f t="shared" si="13"/>
        <v/>
      </c>
      <c r="AP20" s="144" t="str">
        <f t="shared" si="13"/>
        <v/>
      </c>
      <c r="AQ20" s="144" t="str">
        <f t="shared" si="13"/>
        <v/>
      </c>
      <c r="AR20" s="144" t="str">
        <f t="shared" si="13"/>
        <v/>
      </c>
      <c r="AS20" s="148" t="str">
        <f t="shared" si="13"/>
        <v/>
      </c>
      <c r="AT20" s="148" t="str">
        <f t="shared" si="13"/>
        <v/>
      </c>
      <c r="AU20" s="148" t="str">
        <f t="shared" si="13"/>
        <v/>
      </c>
      <c r="AV20" s="148" t="str">
        <f t="shared" si="13"/>
        <v/>
      </c>
      <c r="AW20" s="148" t="str">
        <f t="shared" si="13"/>
        <v/>
      </c>
      <c r="AX20" s="144" t="str">
        <f t="shared" si="13"/>
        <v/>
      </c>
      <c r="AY20" s="144" t="str">
        <f t="shared" si="13"/>
        <v/>
      </c>
      <c r="AZ20" s="144" t="str">
        <f t="shared" si="13"/>
        <v/>
      </c>
      <c r="BA20" s="144" t="str">
        <f t="shared" si="13"/>
        <v/>
      </c>
      <c r="BB20" s="144" t="str">
        <f t="shared" si="13"/>
        <v/>
      </c>
      <c r="BC20" s="149" t="str">
        <f t="shared" si="13"/>
        <v/>
      </c>
      <c r="BD20" s="149" t="str">
        <f t="shared" si="13"/>
        <v/>
      </c>
      <c r="BE20" s="149" t="str">
        <f t="shared" si="13"/>
        <v/>
      </c>
      <c r="BF20" s="149" t="str">
        <f t="shared" si="13"/>
        <v/>
      </c>
      <c r="BG20" s="149" t="str">
        <f t="shared" si="13"/>
        <v/>
      </c>
      <c r="BH20" s="144" t="str">
        <f t="shared" si="13"/>
        <v/>
      </c>
      <c r="BI20" s="144" t="str">
        <f t="shared" si="13"/>
        <v/>
      </c>
      <c r="BJ20" s="144" t="str">
        <f t="shared" si="13"/>
        <v/>
      </c>
      <c r="BK20" s="144" t="str">
        <f t="shared" si="13"/>
        <v/>
      </c>
      <c r="BL20" s="144" t="str">
        <f t="shared" si="13"/>
        <v/>
      </c>
      <c r="BM20" s="149" t="str">
        <f t="shared" si="13"/>
        <v/>
      </c>
      <c r="BN20" s="149" t="str">
        <f t="shared" si="13"/>
        <v/>
      </c>
      <c r="BO20" s="149" t="str">
        <f t="shared" si="13"/>
        <v/>
      </c>
      <c r="BP20" s="149" t="str">
        <f t="shared" si="13"/>
        <v/>
      </c>
      <c r="BQ20" s="149" t="str">
        <f t="shared" si="13"/>
        <v/>
      </c>
      <c r="BR20" s="150" t="str">
        <f t="shared" si="13"/>
        <v/>
      </c>
      <c r="BS20" s="150" t="str">
        <f t="shared" si="13"/>
        <v/>
      </c>
      <c r="BT20" s="150" t="str">
        <f t="shared" si="13"/>
        <v/>
      </c>
      <c r="BU20" s="150" t="str">
        <f t="shared" si="13"/>
        <v/>
      </c>
      <c r="BV20" s="150" t="str">
        <f t="shared" si="13"/>
        <v/>
      </c>
      <c r="BW20" s="144" t="str">
        <f t="shared" si="13"/>
        <v/>
      </c>
      <c r="BX20" s="144" t="str">
        <f t="shared" si="13"/>
        <v/>
      </c>
      <c r="BY20" s="144" t="str">
        <f t="shared" si="13"/>
        <v/>
      </c>
      <c r="BZ20" s="144" t="str">
        <f t="shared" si="13"/>
        <v/>
      </c>
      <c r="CA20" s="144" t="str">
        <f t="shared" si="13"/>
        <v/>
      </c>
      <c r="CB20" s="150" t="str">
        <f t="shared" si="13"/>
        <v/>
      </c>
      <c r="CC20" s="150" t="str">
        <f t="shared" si="13"/>
        <v/>
      </c>
      <c r="CD20" s="150" t="str">
        <f t="shared" si="13"/>
        <v/>
      </c>
      <c r="CE20" s="150" t="str">
        <f t="shared" si="13"/>
        <v/>
      </c>
      <c r="CF20" s="150" t="str">
        <f t="shared" si="13"/>
        <v/>
      </c>
      <c r="CG20" s="144" t="str">
        <f t="shared" si="13"/>
        <v/>
      </c>
      <c r="CH20" s="144" t="str">
        <f t="shared" si="13"/>
        <v/>
      </c>
      <c r="CI20" s="144" t="str">
        <f t="shared" si="13"/>
        <v/>
      </c>
      <c r="CJ20" s="144" t="str">
        <f t="shared" si="13"/>
        <v/>
      </c>
      <c r="CK20" s="144" t="str">
        <f t="shared" si="13"/>
        <v/>
      </c>
      <c r="CL20" s="151" t="str">
        <f t="shared" si="13"/>
        <v/>
      </c>
      <c r="CM20" s="151" t="str">
        <f t="shared" si="13"/>
        <v/>
      </c>
      <c r="CN20" s="151" t="str">
        <f t="shared" si="13"/>
        <v/>
      </c>
      <c r="CO20" s="151" t="str">
        <f t="shared" si="13"/>
        <v/>
      </c>
      <c r="CP20" s="151" t="str">
        <f t="shared" si="13"/>
        <v/>
      </c>
      <c r="CQ20" s="151" t="str">
        <f t="shared" si="13"/>
        <v/>
      </c>
      <c r="CR20" s="152" t="str">
        <f t="shared" si="13"/>
        <v/>
      </c>
      <c r="CS20" s="152" t="str">
        <f t="shared" si="13"/>
        <v/>
      </c>
      <c r="CT20" s="152" t="str">
        <f t="shared" si="13"/>
        <v/>
      </c>
      <c r="CU20" s="152" t="str">
        <f t="shared" si="13"/>
        <v/>
      </c>
    </row>
    <row r="21" ht="31.5" customHeight="1">
      <c r="B21" s="153" t="s">
        <v>134</v>
      </c>
      <c r="C21" s="154" t="s">
        <v>135</v>
      </c>
      <c r="D21" s="139" t="s">
        <v>108</v>
      </c>
      <c r="E21" s="140">
        <v>46265.0</v>
      </c>
      <c r="F21" s="140">
        <v>46266.0</v>
      </c>
      <c r="G21" s="141">
        <f t="shared" si="3"/>
        <v>2</v>
      </c>
      <c r="H21" s="142" t="s">
        <v>136</v>
      </c>
      <c r="I21" s="143">
        <v>1.0</v>
      </c>
      <c r="J21" s="144" t="str">
        <f t="shared" ref="J21:CU21" si="14">IF(AND(J$6&gt;=$E21,J$6&lt;=$F21),IF(NETWORKDAYS($E21,J$6)&lt;=ROUNDUP(NETWORKDAYS($E21,$F21)*$I21,0),2,1),"")</f>
        <v/>
      </c>
      <c r="K21" s="144" t="str">
        <f t="shared" si="14"/>
        <v/>
      </c>
      <c r="L21" s="144" t="str">
        <f t="shared" si="14"/>
        <v/>
      </c>
      <c r="M21" s="144" t="str">
        <f t="shared" si="14"/>
        <v/>
      </c>
      <c r="N21" s="144" t="str">
        <f t="shared" si="14"/>
        <v/>
      </c>
      <c r="O21" s="146" t="str">
        <f t="shared" si="14"/>
        <v/>
      </c>
      <c r="P21" s="146" t="str">
        <f t="shared" si="14"/>
        <v/>
      </c>
      <c r="Q21" s="146" t="str">
        <f t="shared" si="14"/>
        <v/>
      </c>
      <c r="R21" s="146" t="str">
        <f t="shared" si="14"/>
        <v/>
      </c>
      <c r="S21" s="146" t="str">
        <f t="shared" si="14"/>
        <v/>
      </c>
      <c r="T21" s="144" t="str">
        <f t="shared" si="14"/>
        <v/>
      </c>
      <c r="U21" s="144" t="str">
        <f t="shared" si="14"/>
        <v/>
      </c>
      <c r="V21" s="144" t="str">
        <f t="shared" si="14"/>
        <v/>
      </c>
      <c r="W21" s="144" t="str">
        <f t="shared" si="14"/>
        <v/>
      </c>
      <c r="X21" s="144" t="str">
        <f t="shared" si="14"/>
        <v/>
      </c>
      <c r="Y21" s="147">
        <f t="shared" si="14"/>
        <v>2</v>
      </c>
      <c r="Z21" s="147">
        <f t="shared" si="14"/>
        <v>2</v>
      </c>
      <c r="AA21" s="147" t="str">
        <f t="shared" si="14"/>
        <v/>
      </c>
      <c r="AB21" s="147" t="str">
        <f t="shared" si="14"/>
        <v/>
      </c>
      <c r="AC21" s="147" t="str">
        <f t="shared" si="14"/>
        <v/>
      </c>
      <c r="AD21" s="144" t="str">
        <f t="shared" si="14"/>
        <v/>
      </c>
      <c r="AE21" s="144" t="str">
        <f t="shared" si="14"/>
        <v/>
      </c>
      <c r="AF21" s="144" t="str">
        <f t="shared" si="14"/>
        <v/>
      </c>
      <c r="AG21" s="144" t="str">
        <f t="shared" si="14"/>
        <v/>
      </c>
      <c r="AH21" s="144" t="str">
        <f t="shared" si="14"/>
        <v/>
      </c>
      <c r="AI21" s="148" t="str">
        <f t="shared" si="14"/>
        <v/>
      </c>
      <c r="AJ21" s="148" t="str">
        <f t="shared" si="14"/>
        <v/>
      </c>
      <c r="AK21" s="148" t="str">
        <f t="shared" si="14"/>
        <v/>
      </c>
      <c r="AL21" s="148" t="str">
        <f t="shared" si="14"/>
        <v/>
      </c>
      <c r="AM21" s="148" t="str">
        <f t="shared" si="14"/>
        <v/>
      </c>
      <c r="AN21" s="144" t="str">
        <f t="shared" si="14"/>
        <v/>
      </c>
      <c r="AO21" s="144" t="str">
        <f t="shared" si="14"/>
        <v/>
      </c>
      <c r="AP21" s="144" t="str">
        <f t="shared" si="14"/>
        <v/>
      </c>
      <c r="AQ21" s="144" t="str">
        <f t="shared" si="14"/>
        <v/>
      </c>
      <c r="AR21" s="144" t="str">
        <f t="shared" si="14"/>
        <v/>
      </c>
      <c r="AS21" s="148" t="str">
        <f t="shared" si="14"/>
        <v/>
      </c>
      <c r="AT21" s="148" t="str">
        <f t="shared" si="14"/>
        <v/>
      </c>
      <c r="AU21" s="148" t="str">
        <f t="shared" si="14"/>
        <v/>
      </c>
      <c r="AV21" s="148" t="str">
        <f t="shared" si="14"/>
        <v/>
      </c>
      <c r="AW21" s="148" t="str">
        <f t="shared" si="14"/>
        <v/>
      </c>
      <c r="AX21" s="144" t="str">
        <f t="shared" si="14"/>
        <v/>
      </c>
      <c r="AY21" s="144" t="str">
        <f t="shared" si="14"/>
        <v/>
      </c>
      <c r="AZ21" s="144" t="str">
        <f t="shared" si="14"/>
        <v/>
      </c>
      <c r="BA21" s="144" t="str">
        <f t="shared" si="14"/>
        <v/>
      </c>
      <c r="BB21" s="144" t="str">
        <f t="shared" si="14"/>
        <v/>
      </c>
      <c r="BC21" s="149" t="str">
        <f t="shared" si="14"/>
        <v/>
      </c>
      <c r="BD21" s="149" t="str">
        <f t="shared" si="14"/>
        <v/>
      </c>
      <c r="BE21" s="149" t="str">
        <f t="shared" si="14"/>
        <v/>
      </c>
      <c r="BF21" s="149" t="str">
        <f t="shared" si="14"/>
        <v/>
      </c>
      <c r="BG21" s="149" t="str">
        <f t="shared" si="14"/>
        <v/>
      </c>
      <c r="BH21" s="144" t="str">
        <f t="shared" si="14"/>
        <v/>
      </c>
      <c r="BI21" s="144" t="str">
        <f t="shared" si="14"/>
        <v/>
      </c>
      <c r="BJ21" s="144" t="str">
        <f t="shared" si="14"/>
        <v/>
      </c>
      <c r="BK21" s="144" t="str">
        <f t="shared" si="14"/>
        <v/>
      </c>
      <c r="BL21" s="144" t="str">
        <f t="shared" si="14"/>
        <v/>
      </c>
      <c r="BM21" s="149" t="str">
        <f t="shared" si="14"/>
        <v/>
      </c>
      <c r="BN21" s="149" t="str">
        <f t="shared" si="14"/>
        <v/>
      </c>
      <c r="BO21" s="149" t="str">
        <f t="shared" si="14"/>
        <v/>
      </c>
      <c r="BP21" s="149" t="str">
        <f t="shared" si="14"/>
        <v/>
      </c>
      <c r="BQ21" s="149" t="str">
        <f t="shared" si="14"/>
        <v/>
      </c>
      <c r="BR21" s="150" t="str">
        <f t="shared" si="14"/>
        <v/>
      </c>
      <c r="BS21" s="150" t="str">
        <f t="shared" si="14"/>
        <v/>
      </c>
      <c r="BT21" s="150" t="str">
        <f t="shared" si="14"/>
        <v/>
      </c>
      <c r="BU21" s="150" t="str">
        <f t="shared" si="14"/>
        <v/>
      </c>
      <c r="BV21" s="150" t="str">
        <f t="shared" si="14"/>
        <v/>
      </c>
      <c r="BW21" s="144" t="str">
        <f t="shared" si="14"/>
        <v/>
      </c>
      <c r="BX21" s="144" t="str">
        <f t="shared" si="14"/>
        <v/>
      </c>
      <c r="BY21" s="144" t="str">
        <f t="shared" si="14"/>
        <v/>
      </c>
      <c r="BZ21" s="144" t="str">
        <f t="shared" si="14"/>
        <v/>
      </c>
      <c r="CA21" s="144" t="str">
        <f t="shared" si="14"/>
        <v/>
      </c>
      <c r="CB21" s="150" t="str">
        <f t="shared" si="14"/>
        <v/>
      </c>
      <c r="CC21" s="150" t="str">
        <f t="shared" si="14"/>
        <v/>
      </c>
      <c r="CD21" s="150" t="str">
        <f t="shared" si="14"/>
        <v/>
      </c>
      <c r="CE21" s="150" t="str">
        <f t="shared" si="14"/>
        <v/>
      </c>
      <c r="CF21" s="150" t="str">
        <f t="shared" si="14"/>
        <v/>
      </c>
      <c r="CG21" s="144" t="str">
        <f t="shared" si="14"/>
        <v/>
      </c>
      <c r="CH21" s="144" t="str">
        <f t="shared" si="14"/>
        <v/>
      </c>
      <c r="CI21" s="144" t="str">
        <f t="shared" si="14"/>
        <v/>
      </c>
      <c r="CJ21" s="144" t="str">
        <f t="shared" si="14"/>
        <v/>
      </c>
      <c r="CK21" s="144" t="str">
        <f t="shared" si="14"/>
        <v/>
      </c>
      <c r="CL21" s="151" t="str">
        <f t="shared" si="14"/>
        <v/>
      </c>
      <c r="CM21" s="151" t="str">
        <f t="shared" si="14"/>
        <v/>
      </c>
      <c r="CN21" s="151" t="str">
        <f t="shared" si="14"/>
        <v/>
      </c>
      <c r="CO21" s="151" t="str">
        <f t="shared" si="14"/>
        <v/>
      </c>
      <c r="CP21" s="151" t="str">
        <f t="shared" si="14"/>
        <v/>
      </c>
      <c r="CQ21" s="151" t="str">
        <f t="shared" si="14"/>
        <v/>
      </c>
      <c r="CR21" s="152" t="str">
        <f t="shared" si="14"/>
        <v/>
      </c>
      <c r="CS21" s="152" t="str">
        <f t="shared" si="14"/>
        <v/>
      </c>
      <c r="CT21" s="152" t="str">
        <f t="shared" si="14"/>
        <v/>
      </c>
      <c r="CU21" s="152" t="str">
        <f t="shared" si="14"/>
        <v/>
      </c>
    </row>
    <row r="22" ht="31.5" customHeight="1">
      <c r="B22" s="153" t="s">
        <v>137</v>
      </c>
      <c r="C22" s="154" t="s">
        <v>138</v>
      </c>
      <c r="D22" s="139" t="s">
        <v>114</v>
      </c>
      <c r="E22" s="140">
        <v>46258.0</v>
      </c>
      <c r="F22" s="140">
        <v>46266.0</v>
      </c>
      <c r="G22" s="141">
        <f t="shared" si="3"/>
        <v>7</v>
      </c>
      <c r="H22" s="142" t="s">
        <v>139</v>
      </c>
      <c r="I22" s="143">
        <v>1.0</v>
      </c>
      <c r="J22" s="144" t="str">
        <f t="shared" ref="J22:CU22" si="15">IF(AND(J$6&gt;=$E22,J$6&lt;=$F22),IF(NETWORKDAYS($E22,J$6)&lt;=ROUNDUP(NETWORKDAYS($E22,$F22)*$I22,0),2,1),"")</f>
        <v/>
      </c>
      <c r="K22" s="144" t="str">
        <f t="shared" si="15"/>
        <v/>
      </c>
      <c r="L22" s="144" t="str">
        <f t="shared" si="15"/>
        <v/>
      </c>
      <c r="M22" s="144" t="str">
        <f t="shared" si="15"/>
        <v/>
      </c>
      <c r="N22" s="144" t="str">
        <f t="shared" si="15"/>
        <v/>
      </c>
      <c r="O22" s="146" t="str">
        <f t="shared" si="15"/>
        <v/>
      </c>
      <c r="P22" s="146" t="str">
        <f t="shared" si="15"/>
        <v/>
      </c>
      <c r="Q22" s="146" t="str">
        <f t="shared" si="15"/>
        <v/>
      </c>
      <c r="R22" s="146" t="str">
        <f t="shared" si="15"/>
        <v/>
      </c>
      <c r="S22" s="146" t="str">
        <f t="shared" si="15"/>
        <v/>
      </c>
      <c r="T22" s="144">
        <f t="shared" si="15"/>
        <v>2</v>
      </c>
      <c r="U22" s="144">
        <f t="shared" si="15"/>
        <v>2</v>
      </c>
      <c r="V22" s="144">
        <f t="shared" si="15"/>
        <v>2</v>
      </c>
      <c r="W22" s="144">
        <f t="shared" si="15"/>
        <v>2</v>
      </c>
      <c r="X22" s="144">
        <f t="shared" si="15"/>
        <v>2</v>
      </c>
      <c r="Y22" s="147">
        <f t="shared" si="15"/>
        <v>2</v>
      </c>
      <c r="Z22" s="147">
        <f t="shared" si="15"/>
        <v>2</v>
      </c>
      <c r="AA22" s="147" t="str">
        <f t="shared" si="15"/>
        <v/>
      </c>
      <c r="AB22" s="147" t="str">
        <f t="shared" si="15"/>
        <v/>
      </c>
      <c r="AC22" s="147" t="str">
        <f t="shared" si="15"/>
        <v/>
      </c>
      <c r="AD22" s="144" t="str">
        <f t="shared" si="15"/>
        <v/>
      </c>
      <c r="AE22" s="144" t="str">
        <f t="shared" si="15"/>
        <v/>
      </c>
      <c r="AF22" s="144" t="str">
        <f t="shared" si="15"/>
        <v/>
      </c>
      <c r="AG22" s="144" t="str">
        <f t="shared" si="15"/>
        <v/>
      </c>
      <c r="AH22" s="144" t="str">
        <f t="shared" si="15"/>
        <v/>
      </c>
      <c r="AI22" s="148" t="str">
        <f t="shared" si="15"/>
        <v/>
      </c>
      <c r="AJ22" s="148" t="str">
        <f t="shared" si="15"/>
        <v/>
      </c>
      <c r="AK22" s="148" t="str">
        <f t="shared" si="15"/>
        <v/>
      </c>
      <c r="AL22" s="148" t="str">
        <f t="shared" si="15"/>
        <v/>
      </c>
      <c r="AM22" s="148" t="str">
        <f t="shared" si="15"/>
        <v/>
      </c>
      <c r="AN22" s="144" t="str">
        <f t="shared" si="15"/>
        <v/>
      </c>
      <c r="AO22" s="144" t="str">
        <f t="shared" si="15"/>
        <v/>
      </c>
      <c r="AP22" s="144" t="str">
        <f t="shared" si="15"/>
        <v/>
      </c>
      <c r="AQ22" s="144" t="str">
        <f t="shared" si="15"/>
        <v/>
      </c>
      <c r="AR22" s="144" t="str">
        <f t="shared" si="15"/>
        <v/>
      </c>
      <c r="AS22" s="148" t="str">
        <f t="shared" si="15"/>
        <v/>
      </c>
      <c r="AT22" s="148" t="str">
        <f t="shared" si="15"/>
        <v/>
      </c>
      <c r="AU22" s="148" t="str">
        <f t="shared" si="15"/>
        <v/>
      </c>
      <c r="AV22" s="148" t="str">
        <f t="shared" si="15"/>
        <v/>
      </c>
      <c r="AW22" s="148" t="str">
        <f t="shared" si="15"/>
        <v/>
      </c>
      <c r="AX22" s="144" t="str">
        <f t="shared" si="15"/>
        <v/>
      </c>
      <c r="AY22" s="144" t="str">
        <f t="shared" si="15"/>
        <v/>
      </c>
      <c r="AZ22" s="144" t="str">
        <f t="shared" si="15"/>
        <v/>
      </c>
      <c r="BA22" s="144" t="str">
        <f t="shared" si="15"/>
        <v/>
      </c>
      <c r="BB22" s="144" t="str">
        <f t="shared" si="15"/>
        <v/>
      </c>
      <c r="BC22" s="149" t="str">
        <f t="shared" si="15"/>
        <v/>
      </c>
      <c r="BD22" s="149" t="str">
        <f t="shared" si="15"/>
        <v/>
      </c>
      <c r="BE22" s="149" t="str">
        <f t="shared" si="15"/>
        <v/>
      </c>
      <c r="BF22" s="149" t="str">
        <f t="shared" si="15"/>
        <v/>
      </c>
      <c r="BG22" s="149" t="str">
        <f t="shared" si="15"/>
        <v/>
      </c>
      <c r="BH22" s="144" t="str">
        <f t="shared" si="15"/>
        <v/>
      </c>
      <c r="BI22" s="144" t="str">
        <f t="shared" si="15"/>
        <v/>
      </c>
      <c r="BJ22" s="144" t="str">
        <f t="shared" si="15"/>
        <v/>
      </c>
      <c r="BK22" s="144" t="str">
        <f t="shared" si="15"/>
        <v/>
      </c>
      <c r="BL22" s="144" t="str">
        <f t="shared" si="15"/>
        <v/>
      </c>
      <c r="BM22" s="149" t="str">
        <f t="shared" si="15"/>
        <v/>
      </c>
      <c r="BN22" s="149" t="str">
        <f t="shared" si="15"/>
        <v/>
      </c>
      <c r="BO22" s="149" t="str">
        <f t="shared" si="15"/>
        <v/>
      </c>
      <c r="BP22" s="149" t="str">
        <f t="shared" si="15"/>
        <v/>
      </c>
      <c r="BQ22" s="149" t="str">
        <f t="shared" si="15"/>
        <v/>
      </c>
      <c r="BR22" s="150" t="str">
        <f t="shared" si="15"/>
        <v/>
      </c>
      <c r="BS22" s="150" t="str">
        <f t="shared" si="15"/>
        <v/>
      </c>
      <c r="BT22" s="150" t="str">
        <f t="shared" si="15"/>
        <v/>
      </c>
      <c r="BU22" s="150" t="str">
        <f t="shared" si="15"/>
        <v/>
      </c>
      <c r="BV22" s="150" t="str">
        <f t="shared" si="15"/>
        <v/>
      </c>
      <c r="BW22" s="144" t="str">
        <f t="shared" si="15"/>
        <v/>
      </c>
      <c r="BX22" s="144" t="str">
        <f t="shared" si="15"/>
        <v/>
      </c>
      <c r="BY22" s="144" t="str">
        <f t="shared" si="15"/>
        <v/>
      </c>
      <c r="BZ22" s="144" t="str">
        <f t="shared" si="15"/>
        <v/>
      </c>
      <c r="CA22" s="144" t="str">
        <f t="shared" si="15"/>
        <v/>
      </c>
      <c r="CB22" s="150" t="str">
        <f t="shared" si="15"/>
        <v/>
      </c>
      <c r="CC22" s="150" t="str">
        <f t="shared" si="15"/>
        <v/>
      </c>
      <c r="CD22" s="150" t="str">
        <f t="shared" si="15"/>
        <v/>
      </c>
      <c r="CE22" s="150" t="str">
        <f t="shared" si="15"/>
        <v/>
      </c>
      <c r="CF22" s="150" t="str">
        <f t="shared" si="15"/>
        <v/>
      </c>
      <c r="CG22" s="144" t="str">
        <f t="shared" si="15"/>
        <v/>
      </c>
      <c r="CH22" s="144" t="str">
        <f t="shared" si="15"/>
        <v/>
      </c>
      <c r="CI22" s="144" t="str">
        <f t="shared" si="15"/>
        <v/>
      </c>
      <c r="CJ22" s="144" t="str">
        <f t="shared" si="15"/>
        <v/>
      </c>
      <c r="CK22" s="144" t="str">
        <f t="shared" si="15"/>
        <v/>
      </c>
      <c r="CL22" s="151" t="str">
        <f t="shared" si="15"/>
        <v/>
      </c>
      <c r="CM22" s="151" t="str">
        <f t="shared" si="15"/>
        <v/>
      </c>
      <c r="CN22" s="151" t="str">
        <f t="shared" si="15"/>
        <v/>
      </c>
      <c r="CO22" s="151" t="str">
        <f t="shared" si="15"/>
        <v/>
      </c>
      <c r="CP22" s="151" t="str">
        <f t="shared" si="15"/>
        <v/>
      </c>
      <c r="CQ22" s="151" t="str">
        <f t="shared" si="15"/>
        <v/>
      </c>
      <c r="CR22" s="152" t="str">
        <f t="shared" si="15"/>
        <v/>
      </c>
      <c r="CS22" s="152" t="str">
        <f t="shared" si="15"/>
        <v/>
      </c>
      <c r="CT22" s="152" t="str">
        <f t="shared" si="15"/>
        <v/>
      </c>
      <c r="CU22" s="152" t="str">
        <f t="shared" si="15"/>
        <v/>
      </c>
    </row>
    <row r="23" ht="31.5" customHeight="1">
      <c r="B23" s="137" t="s">
        <v>140</v>
      </c>
      <c r="C23" s="138" t="s">
        <v>141</v>
      </c>
      <c r="D23" s="139" t="s">
        <v>66</v>
      </c>
      <c r="E23" s="140">
        <v>46266.0</v>
      </c>
      <c r="F23" s="140">
        <v>46266.0</v>
      </c>
      <c r="G23" s="141">
        <f t="shared" si="3"/>
        <v>1</v>
      </c>
      <c r="H23" s="142" t="s">
        <v>142</v>
      </c>
      <c r="I23" s="143">
        <v>1.0</v>
      </c>
      <c r="J23" s="144" t="str">
        <f t="shared" ref="J23:CU23" si="16">IF(AND(J$6&gt;=$E23,J$6&lt;=$F23),IF(NETWORKDAYS($E23,J$6)&lt;=ROUNDUP(NETWORKDAYS($E23,$F23)*$I23,0),2,1),"")</f>
        <v/>
      </c>
      <c r="K23" s="144" t="str">
        <f t="shared" si="16"/>
        <v/>
      </c>
      <c r="L23" s="144" t="str">
        <f t="shared" si="16"/>
        <v/>
      </c>
      <c r="M23" s="144" t="str">
        <f t="shared" si="16"/>
        <v/>
      </c>
      <c r="N23" s="144" t="str">
        <f t="shared" si="16"/>
        <v/>
      </c>
      <c r="O23" s="146" t="str">
        <f t="shared" si="16"/>
        <v/>
      </c>
      <c r="P23" s="146" t="str">
        <f t="shared" si="16"/>
        <v/>
      </c>
      <c r="Q23" s="146" t="str">
        <f t="shared" si="16"/>
        <v/>
      </c>
      <c r="R23" s="146" t="str">
        <f t="shared" si="16"/>
        <v/>
      </c>
      <c r="S23" s="146" t="str">
        <f t="shared" si="16"/>
        <v/>
      </c>
      <c r="T23" s="144" t="str">
        <f t="shared" si="16"/>
        <v/>
      </c>
      <c r="U23" s="144" t="str">
        <f t="shared" si="16"/>
        <v/>
      </c>
      <c r="V23" s="144" t="str">
        <f t="shared" si="16"/>
        <v/>
      </c>
      <c r="W23" s="144" t="str">
        <f t="shared" si="16"/>
        <v/>
      </c>
      <c r="X23" s="144" t="str">
        <f t="shared" si="16"/>
        <v/>
      </c>
      <c r="Y23" s="147" t="str">
        <f t="shared" si="16"/>
        <v/>
      </c>
      <c r="Z23" s="147">
        <f t="shared" si="16"/>
        <v>2</v>
      </c>
      <c r="AA23" s="147" t="str">
        <f t="shared" si="16"/>
        <v/>
      </c>
      <c r="AB23" s="147" t="str">
        <f t="shared" si="16"/>
        <v/>
      </c>
      <c r="AC23" s="147" t="str">
        <f t="shared" si="16"/>
        <v/>
      </c>
      <c r="AD23" s="144" t="str">
        <f t="shared" si="16"/>
        <v/>
      </c>
      <c r="AE23" s="144" t="str">
        <f t="shared" si="16"/>
        <v/>
      </c>
      <c r="AF23" s="144" t="str">
        <f t="shared" si="16"/>
        <v/>
      </c>
      <c r="AG23" s="144" t="str">
        <f t="shared" si="16"/>
        <v/>
      </c>
      <c r="AH23" s="144" t="str">
        <f t="shared" si="16"/>
        <v/>
      </c>
      <c r="AI23" s="148" t="str">
        <f t="shared" si="16"/>
        <v/>
      </c>
      <c r="AJ23" s="148" t="str">
        <f t="shared" si="16"/>
        <v/>
      </c>
      <c r="AK23" s="148" t="str">
        <f t="shared" si="16"/>
        <v/>
      </c>
      <c r="AL23" s="148" t="str">
        <f t="shared" si="16"/>
        <v/>
      </c>
      <c r="AM23" s="148" t="str">
        <f t="shared" si="16"/>
        <v/>
      </c>
      <c r="AN23" s="144" t="str">
        <f t="shared" si="16"/>
        <v/>
      </c>
      <c r="AO23" s="144" t="str">
        <f t="shared" si="16"/>
        <v/>
      </c>
      <c r="AP23" s="144" t="str">
        <f t="shared" si="16"/>
        <v/>
      </c>
      <c r="AQ23" s="144" t="str">
        <f t="shared" si="16"/>
        <v/>
      </c>
      <c r="AR23" s="144" t="str">
        <f t="shared" si="16"/>
        <v/>
      </c>
      <c r="AS23" s="148" t="str">
        <f t="shared" si="16"/>
        <v/>
      </c>
      <c r="AT23" s="148" t="str">
        <f t="shared" si="16"/>
        <v/>
      </c>
      <c r="AU23" s="148" t="str">
        <f t="shared" si="16"/>
        <v/>
      </c>
      <c r="AV23" s="148" t="str">
        <f t="shared" si="16"/>
        <v/>
      </c>
      <c r="AW23" s="148" t="str">
        <f t="shared" si="16"/>
        <v/>
      </c>
      <c r="AX23" s="144" t="str">
        <f t="shared" si="16"/>
        <v/>
      </c>
      <c r="AY23" s="144" t="str">
        <f t="shared" si="16"/>
        <v/>
      </c>
      <c r="AZ23" s="144" t="str">
        <f t="shared" si="16"/>
        <v/>
      </c>
      <c r="BA23" s="144" t="str">
        <f t="shared" si="16"/>
        <v/>
      </c>
      <c r="BB23" s="144" t="str">
        <f t="shared" si="16"/>
        <v/>
      </c>
      <c r="BC23" s="149" t="str">
        <f t="shared" si="16"/>
        <v/>
      </c>
      <c r="BD23" s="149" t="str">
        <f t="shared" si="16"/>
        <v/>
      </c>
      <c r="BE23" s="149" t="str">
        <f t="shared" si="16"/>
        <v/>
      </c>
      <c r="BF23" s="149" t="str">
        <f t="shared" si="16"/>
        <v/>
      </c>
      <c r="BG23" s="149" t="str">
        <f t="shared" si="16"/>
        <v/>
      </c>
      <c r="BH23" s="144" t="str">
        <f t="shared" si="16"/>
        <v/>
      </c>
      <c r="BI23" s="144" t="str">
        <f t="shared" si="16"/>
        <v/>
      </c>
      <c r="BJ23" s="144" t="str">
        <f t="shared" si="16"/>
        <v/>
      </c>
      <c r="BK23" s="144" t="str">
        <f t="shared" si="16"/>
        <v/>
      </c>
      <c r="BL23" s="144" t="str">
        <f t="shared" si="16"/>
        <v/>
      </c>
      <c r="BM23" s="149" t="str">
        <f t="shared" si="16"/>
        <v/>
      </c>
      <c r="BN23" s="149" t="str">
        <f t="shared" si="16"/>
        <v/>
      </c>
      <c r="BO23" s="149" t="str">
        <f t="shared" si="16"/>
        <v/>
      </c>
      <c r="BP23" s="149" t="str">
        <f t="shared" si="16"/>
        <v/>
      </c>
      <c r="BQ23" s="149" t="str">
        <f t="shared" si="16"/>
        <v/>
      </c>
      <c r="BR23" s="150" t="str">
        <f t="shared" si="16"/>
        <v/>
      </c>
      <c r="BS23" s="150" t="str">
        <f t="shared" si="16"/>
        <v/>
      </c>
      <c r="BT23" s="150" t="str">
        <f t="shared" si="16"/>
        <v/>
      </c>
      <c r="BU23" s="150" t="str">
        <f t="shared" si="16"/>
        <v/>
      </c>
      <c r="BV23" s="150" t="str">
        <f t="shared" si="16"/>
        <v/>
      </c>
      <c r="BW23" s="144" t="str">
        <f t="shared" si="16"/>
        <v/>
      </c>
      <c r="BX23" s="144" t="str">
        <f t="shared" si="16"/>
        <v/>
      </c>
      <c r="BY23" s="144" t="str">
        <f t="shared" si="16"/>
        <v/>
      </c>
      <c r="BZ23" s="144" t="str">
        <f t="shared" si="16"/>
        <v/>
      </c>
      <c r="CA23" s="144" t="str">
        <f t="shared" si="16"/>
        <v/>
      </c>
      <c r="CB23" s="150" t="str">
        <f t="shared" si="16"/>
        <v/>
      </c>
      <c r="CC23" s="150" t="str">
        <f t="shared" si="16"/>
        <v/>
      </c>
      <c r="CD23" s="150" t="str">
        <f t="shared" si="16"/>
        <v/>
      </c>
      <c r="CE23" s="150" t="str">
        <f t="shared" si="16"/>
        <v/>
      </c>
      <c r="CF23" s="150" t="str">
        <f t="shared" si="16"/>
        <v/>
      </c>
      <c r="CG23" s="144" t="str">
        <f t="shared" si="16"/>
        <v/>
      </c>
      <c r="CH23" s="144" t="str">
        <f t="shared" si="16"/>
        <v/>
      </c>
      <c r="CI23" s="144" t="str">
        <f t="shared" si="16"/>
        <v/>
      </c>
      <c r="CJ23" s="144" t="str">
        <f t="shared" si="16"/>
        <v/>
      </c>
      <c r="CK23" s="144" t="str">
        <f t="shared" si="16"/>
        <v/>
      </c>
      <c r="CL23" s="151" t="str">
        <f t="shared" si="16"/>
        <v/>
      </c>
      <c r="CM23" s="151" t="str">
        <f t="shared" si="16"/>
        <v/>
      </c>
      <c r="CN23" s="151" t="str">
        <f t="shared" si="16"/>
        <v/>
      </c>
      <c r="CO23" s="151" t="str">
        <f t="shared" si="16"/>
        <v/>
      </c>
      <c r="CP23" s="151" t="str">
        <f t="shared" si="16"/>
        <v/>
      </c>
      <c r="CQ23" s="151" t="str">
        <f t="shared" si="16"/>
        <v/>
      </c>
      <c r="CR23" s="152" t="str">
        <f t="shared" si="16"/>
        <v/>
      </c>
      <c r="CS23" s="152" t="str">
        <f t="shared" si="16"/>
        <v/>
      </c>
      <c r="CT23" s="152" t="str">
        <f t="shared" si="16"/>
        <v/>
      </c>
      <c r="CU23" s="152" t="str">
        <f t="shared" si="16"/>
        <v/>
      </c>
    </row>
    <row r="24" ht="21.75" customHeight="1">
      <c r="B24" s="115" t="s">
        <v>143</v>
      </c>
      <c r="C24" s="117" t="s">
        <v>144</v>
      </c>
      <c r="D24" s="118" t="s">
        <v>66</v>
      </c>
      <c r="E24" s="119">
        <v>46272.0</v>
      </c>
      <c r="F24" s="119">
        <v>46290.0</v>
      </c>
      <c r="G24" s="120">
        <f t="shared" si="3"/>
        <v>15</v>
      </c>
      <c r="H24" s="121" t="s">
        <v>69</v>
      </c>
      <c r="I24" s="122">
        <v>0.25</v>
      </c>
      <c r="J24" s="123" t="str">
        <f t="shared" ref="J24:CU24" si="17">IF(AND(J$6&gt;=$E24,J$6&lt;=$F24),IF(NETWORKDAYS($E24,J$6)&lt;=ROUNDUP(NETWORKDAYS($E24,$F24)*$I24,0),2,1),"")</f>
        <v/>
      </c>
      <c r="K24" s="123" t="str">
        <f t="shared" si="17"/>
        <v/>
      </c>
      <c r="L24" s="123" t="str">
        <f t="shared" si="17"/>
        <v/>
      </c>
      <c r="M24" s="123" t="str">
        <f t="shared" si="17"/>
        <v/>
      </c>
      <c r="N24" s="123" t="str">
        <f t="shared" si="17"/>
        <v/>
      </c>
      <c r="O24" s="123" t="str">
        <f t="shared" si="17"/>
        <v/>
      </c>
      <c r="P24" s="123" t="str">
        <f t="shared" si="17"/>
        <v/>
      </c>
      <c r="Q24" s="123" t="str">
        <f t="shared" si="17"/>
        <v/>
      </c>
      <c r="R24" s="123" t="str">
        <f t="shared" si="17"/>
        <v/>
      </c>
      <c r="S24" s="123" t="str">
        <f t="shared" si="17"/>
        <v/>
      </c>
      <c r="T24" s="123" t="str">
        <f t="shared" si="17"/>
        <v/>
      </c>
      <c r="U24" s="123" t="str">
        <f t="shared" si="17"/>
        <v/>
      </c>
      <c r="V24" s="123" t="str">
        <f t="shared" si="17"/>
        <v/>
      </c>
      <c r="W24" s="123" t="str">
        <f t="shared" si="17"/>
        <v/>
      </c>
      <c r="X24" s="123" t="str">
        <f t="shared" si="17"/>
        <v/>
      </c>
      <c r="Y24" s="123" t="str">
        <f t="shared" si="17"/>
        <v/>
      </c>
      <c r="Z24" s="123" t="str">
        <f t="shared" si="17"/>
        <v/>
      </c>
      <c r="AA24" s="123" t="str">
        <f t="shared" si="17"/>
        <v/>
      </c>
      <c r="AB24" s="123" t="str">
        <f t="shared" si="17"/>
        <v/>
      </c>
      <c r="AC24" s="123" t="str">
        <f t="shared" si="17"/>
        <v/>
      </c>
      <c r="AD24" s="123">
        <f t="shared" si="17"/>
        <v>2</v>
      </c>
      <c r="AE24" s="123">
        <f t="shared" si="17"/>
        <v>2</v>
      </c>
      <c r="AF24" s="123">
        <f t="shared" si="17"/>
        <v>2</v>
      </c>
      <c r="AG24" s="123">
        <f t="shared" si="17"/>
        <v>2</v>
      </c>
      <c r="AH24" s="123">
        <f t="shared" si="17"/>
        <v>1</v>
      </c>
      <c r="AI24" s="123">
        <f t="shared" si="17"/>
        <v>1</v>
      </c>
      <c r="AJ24" s="123">
        <f t="shared" si="17"/>
        <v>1</v>
      </c>
      <c r="AK24" s="123">
        <f t="shared" si="17"/>
        <v>1</v>
      </c>
      <c r="AL24" s="123">
        <f t="shared" si="17"/>
        <v>1</v>
      </c>
      <c r="AM24" s="123">
        <f t="shared" si="17"/>
        <v>1</v>
      </c>
      <c r="AN24" s="123">
        <f t="shared" si="17"/>
        <v>1</v>
      </c>
      <c r="AO24" s="123">
        <f t="shared" si="17"/>
        <v>1</v>
      </c>
      <c r="AP24" s="123">
        <f t="shared" si="17"/>
        <v>1</v>
      </c>
      <c r="AQ24" s="123">
        <f t="shared" si="17"/>
        <v>1</v>
      </c>
      <c r="AR24" s="123">
        <f t="shared" si="17"/>
        <v>1</v>
      </c>
      <c r="AS24" s="123" t="str">
        <f t="shared" si="17"/>
        <v/>
      </c>
      <c r="AT24" s="123" t="str">
        <f t="shared" si="17"/>
        <v/>
      </c>
      <c r="AU24" s="123" t="str">
        <f t="shared" si="17"/>
        <v/>
      </c>
      <c r="AV24" s="123" t="str">
        <f t="shared" si="17"/>
        <v/>
      </c>
      <c r="AW24" s="123" t="str">
        <f t="shared" si="17"/>
        <v/>
      </c>
      <c r="AX24" s="123" t="str">
        <f t="shared" si="17"/>
        <v/>
      </c>
      <c r="AY24" s="123" t="str">
        <f t="shared" si="17"/>
        <v/>
      </c>
      <c r="AZ24" s="123" t="str">
        <f t="shared" si="17"/>
        <v/>
      </c>
      <c r="BA24" s="123" t="str">
        <f t="shared" si="17"/>
        <v/>
      </c>
      <c r="BB24" s="123" t="str">
        <f t="shared" si="17"/>
        <v/>
      </c>
      <c r="BC24" s="123" t="str">
        <f t="shared" si="17"/>
        <v/>
      </c>
      <c r="BD24" s="123" t="str">
        <f t="shared" si="17"/>
        <v/>
      </c>
      <c r="BE24" s="123" t="str">
        <f t="shared" si="17"/>
        <v/>
      </c>
      <c r="BF24" s="123" t="str">
        <f t="shared" si="17"/>
        <v/>
      </c>
      <c r="BG24" s="123" t="str">
        <f t="shared" si="17"/>
        <v/>
      </c>
      <c r="BH24" s="123" t="str">
        <f t="shared" si="17"/>
        <v/>
      </c>
      <c r="BI24" s="123" t="str">
        <f t="shared" si="17"/>
        <v/>
      </c>
      <c r="BJ24" s="123" t="str">
        <f t="shared" si="17"/>
        <v/>
      </c>
      <c r="BK24" s="123" t="str">
        <f t="shared" si="17"/>
        <v/>
      </c>
      <c r="BL24" s="123" t="str">
        <f t="shared" si="17"/>
        <v/>
      </c>
      <c r="BM24" s="123" t="str">
        <f t="shared" si="17"/>
        <v/>
      </c>
      <c r="BN24" s="123" t="str">
        <f t="shared" si="17"/>
        <v/>
      </c>
      <c r="BO24" s="123" t="str">
        <f t="shared" si="17"/>
        <v/>
      </c>
      <c r="BP24" s="123" t="str">
        <f t="shared" si="17"/>
        <v/>
      </c>
      <c r="BQ24" s="123" t="str">
        <f t="shared" si="17"/>
        <v/>
      </c>
      <c r="BR24" s="123" t="str">
        <f t="shared" si="17"/>
        <v/>
      </c>
      <c r="BS24" s="123" t="str">
        <f t="shared" si="17"/>
        <v/>
      </c>
      <c r="BT24" s="123" t="str">
        <f t="shared" si="17"/>
        <v/>
      </c>
      <c r="BU24" s="123" t="str">
        <f t="shared" si="17"/>
        <v/>
      </c>
      <c r="BV24" s="123" t="str">
        <f t="shared" si="17"/>
        <v/>
      </c>
      <c r="BW24" s="123" t="str">
        <f t="shared" si="17"/>
        <v/>
      </c>
      <c r="BX24" s="123" t="str">
        <f t="shared" si="17"/>
        <v/>
      </c>
      <c r="BY24" s="123" t="str">
        <f t="shared" si="17"/>
        <v/>
      </c>
      <c r="BZ24" s="123" t="str">
        <f t="shared" si="17"/>
        <v/>
      </c>
      <c r="CA24" s="123" t="str">
        <f t="shared" si="17"/>
        <v/>
      </c>
      <c r="CB24" s="123" t="str">
        <f t="shared" si="17"/>
        <v/>
      </c>
      <c r="CC24" s="123" t="str">
        <f t="shared" si="17"/>
        <v/>
      </c>
      <c r="CD24" s="123" t="str">
        <f t="shared" si="17"/>
        <v/>
      </c>
      <c r="CE24" s="123" t="str">
        <f t="shared" si="17"/>
        <v/>
      </c>
      <c r="CF24" s="123" t="str">
        <f t="shared" si="17"/>
        <v/>
      </c>
      <c r="CG24" s="123" t="str">
        <f t="shared" si="17"/>
        <v/>
      </c>
      <c r="CH24" s="123" t="str">
        <f t="shared" si="17"/>
        <v/>
      </c>
      <c r="CI24" s="123" t="str">
        <f t="shared" si="17"/>
        <v/>
      </c>
      <c r="CJ24" s="123" t="str">
        <f t="shared" si="17"/>
        <v/>
      </c>
      <c r="CK24" s="123" t="str">
        <f t="shared" si="17"/>
        <v/>
      </c>
      <c r="CL24" s="123" t="str">
        <f t="shared" si="17"/>
        <v/>
      </c>
      <c r="CM24" s="123" t="str">
        <f t="shared" si="17"/>
        <v/>
      </c>
      <c r="CN24" s="123" t="str">
        <f t="shared" si="17"/>
        <v/>
      </c>
      <c r="CO24" s="123" t="str">
        <f t="shared" si="17"/>
        <v/>
      </c>
      <c r="CP24" s="123" t="str">
        <f t="shared" si="17"/>
        <v/>
      </c>
      <c r="CQ24" s="123" t="str">
        <f t="shared" si="17"/>
        <v/>
      </c>
      <c r="CR24" s="136" t="str">
        <f t="shared" si="17"/>
        <v/>
      </c>
      <c r="CS24" s="136" t="str">
        <f t="shared" si="17"/>
        <v/>
      </c>
      <c r="CT24" s="136" t="str">
        <f t="shared" si="17"/>
        <v/>
      </c>
      <c r="CU24" s="136" t="str">
        <f t="shared" si="17"/>
        <v/>
      </c>
    </row>
    <row r="25" ht="31.5" customHeight="1">
      <c r="B25" s="153" t="s">
        <v>67</v>
      </c>
      <c r="C25" s="154" t="s">
        <v>145</v>
      </c>
      <c r="D25" s="139" t="s">
        <v>108</v>
      </c>
      <c r="E25" s="140">
        <v>46272.0</v>
      </c>
      <c r="F25" s="140">
        <v>46274.0</v>
      </c>
      <c r="G25" s="141">
        <f t="shared" si="3"/>
        <v>3</v>
      </c>
      <c r="H25" s="142" t="s">
        <v>146</v>
      </c>
      <c r="I25" s="156">
        <v>1.0</v>
      </c>
      <c r="J25" s="144" t="str">
        <f t="shared" ref="J25:CU25" si="18">IF(AND(J$6&gt;=$E25,J$6&lt;=$F25),IF(NETWORKDAYS($E25,J$6)&lt;=ROUNDUP(NETWORKDAYS($E25,$F25)*$I25,0),2,1),"")</f>
        <v/>
      </c>
      <c r="K25" s="144" t="str">
        <f t="shared" si="18"/>
        <v/>
      </c>
      <c r="L25" s="144" t="str">
        <f t="shared" si="18"/>
        <v/>
      </c>
      <c r="M25" s="144" t="str">
        <f t="shared" si="18"/>
        <v/>
      </c>
      <c r="N25" s="144" t="str">
        <f t="shared" si="18"/>
        <v/>
      </c>
      <c r="O25" s="146" t="str">
        <f t="shared" si="18"/>
        <v/>
      </c>
      <c r="P25" s="146" t="str">
        <f t="shared" si="18"/>
        <v/>
      </c>
      <c r="Q25" s="146" t="str">
        <f t="shared" si="18"/>
        <v/>
      </c>
      <c r="R25" s="146" t="str">
        <f t="shared" si="18"/>
        <v/>
      </c>
      <c r="S25" s="146" t="str">
        <f t="shared" si="18"/>
        <v/>
      </c>
      <c r="T25" s="144" t="str">
        <f t="shared" si="18"/>
        <v/>
      </c>
      <c r="U25" s="144" t="str">
        <f t="shared" si="18"/>
        <v/>
      </c>
      <c r="V25" s="144" t="str">
        <f t="shared" si="18"/>
        <v/>
      </c>
      <c r="W25" s="144" t="str">
        <f t="shared" si="18"/>
        <v/>
      </c>
      <c r="X25" s="144" t="str">
        <f t="shared" si="18"/>
        <v/>
      </c>
      <c r="Y25" s="147" t="str">
        <f t="shared" si="18"/>
        <v/>
      </c>
      <c r="Z25" s="147" t="str">
        <f t="shared" si="18"/>
        <v/>
      </c>
      <c r="AA25" s="147" t="str">
        <f t="shared" si="18"/>
        <v/>
      </c>
      <c r="AB25" s="147" t="str">
        <f t="shared" si="18"/>
        <v/>
      </c>
      <c r="AC25" s="147" t="str">
        <f t="shared" si="18"/>
        <v/>
      </c>
      <c r="AD25" s="144">
        <f t="shared" si="18"/>
        <v>2</v>
      </c>
      <c r="AE25" s="144">
        <f t="shared" si="18"/>
        <v>2</v>
      </c>
      <c r="AF25" s="144">
        <f t="shared" si="18"/>
        <v>2</v>
      </c>
      <c r="AG25" s="144" t="str">
        <f t="shared" si="18"/>
        <v/>
      </c>
      <c r="AH25" s="144" t="str">
        <f t="shared" si="18"/>
        <v/>
      </c>
      <c r="AI25" s="148" t="str">
        <f t="shared" si="18"/>
        <v/>
      </c>
      <c r="AJ25" s="148" t="str">
        <f t="shared" si="18"/>
        <v/>
      </c>
      <c r="AK25" s="148" t="str">
        <f t="shared" si="18"/>
        <v/>
      </c>
      <c r="AL25" s="148" t="str">
        <f t="shared" si="18"/>
        <v/>
      </c>
      <c r="AM25" s="148" t="str">
        <f t="shared" si="18"/>
        <v/>
      </c>
      <c r="AN25" s="144" t="str">
        <f t="shared" si="18"/>
        <v/>
      </c>
      <c r="AO25" s="144" t="str">
        <f t="shared" si="18"/>
        <v/>
      </c>
      <c r="AP25" s="144" t="str">
        <f t="shared" si="18"/>
        <v/>
      </c>
      <c r="AQ25" s="144" t="str">
        <f t="shared" si="18"/>
        <v/>
      </c>
      <c r="AR25" s="144" t="str">
        <f t="shared" si="18"/>
        <v/>
      </c>
      <c r="AS25" s="148" t="str">
        <f t="shared" si="18"/>
        <v/>
      </c>
      <c r="AT25" s="148" t="str">
        <f t="shared" si="18"/>
        <v/>
      </c>
      <c r="AU25" s="148" t="str">
        <f t="shared" si="18"/>
        <v/>
      </c>
      <c r="AV25" s="148" t="str">
        <f t="shared" si="18"/>
        <v/>
      </c>
      <c r="AW25" s="148" t="str">
        <f t="shared" si="18"/>
        <v/>
      </c>
      <c r="AX25" s="144" t="str">
        <f t="shared" si="18"/>
        <v/>
      </c>
      <c r="AY25" s="144" t="str">
        <f t="shared" si="18"/>
        <v/>
      </c>
      <c r="AZ25" s="144" t="str">
        <f t="shared" si="18"/>
        <v/>
      </c>
      <c r="BA25" s="144" t="str">
        <f t="shared" si="18"/>
        <v/>
      </c>
      <c r="BB25" s="144" t="str">
        <f t="shared" si="18"/>
        <v/>
      </c>
      <c r="BC25" s="149" t="str">
        <f t="shared" si="18"/>
        <v/>
      </c>
      <c r="BD25" s="149" t="str">
        <f t="shared" si="18"/>
        <v/>
      </c>
      <c r="BE25" s="149" t="str">
        <f t="shared" si="18"/>
        <v/>
      </c>
      <c r="BF25" s="149" t="str">
        <f t="shared" si="18"/>
        <v/>
      </c>
      <c r="BG25" s="149" t="str">
        <f t="shared" si="18"/>
        <v/>
      </c>
      <c r="BH25" s="144" t="str">
        <f t="shared" si="18"/>
        <v/>
      </c>
      <c r="BI25" s="144" t="str">
        <f t="shared" si="18"/>
        <v/>
      </c>
      <c r="BJ25" s="144" t="str">
        <f t="shared" si="18"/>
        <v/>
      </c>
      <c r="BK25" s="144" t="str">
        <f t="shared" si="18"/>
        <v/>
      </c>
      <c r="BL25" s="144" t="str">
        <f t="shared" si="18"/>
        <v/>
      </c>
      <c r="BM25" s="149" t="str">
        <f t="shared" si="18"/>
        <v/>
      </c>
      <c r="BN25" s="149" t="str">
        <f t="shared" si="18"/>
        <v/>
      </c>
      <c r="BO25" s="149" t="str">
        <f t="shared" si="18"/>
        <v/>
      </c>
      <c r="BP25" s="149" t="str">
        <f t="shared" si="18"/>
        <v/>
      </c>
      <c r="BQ25" s="149" t="str">
        <f t="shared" si="18"/>
        <v/>
      </c>
      <c r="BR25" s="150" t="str">
        <f t="shared" si="18"/>
        <v/>
      </c>
      <c r="BS25" s="150" t="str">
        <f t="shared" si="18"/>
        <v/>
      </c>
      <c r="BT25" s="150" t="str">
        <f t="shared" si="18"/>
        <v/>
      </c>
      <c r="BU25" s="150" t="str">
        <f t="shared" si="18"/>
        <v/>
      </c>
      <c r="BV25" s="150" t="str">
        <f t="shared" si="18"/>
        <v/>
      </c>
      <c r="BW25" s="144" t="str">
        <f t="shared" si="18"/>
        <v/>
      </c>
      <c r="BX25" s="144" t="str">
        <f t="shared" si="18"/>
        <v/>
      </c>
      <c r="BY25" s="144" t="str">
        <f t="shared" si="18"/>
        <v/>
      </c>
      <c r="BZ25" s="144" t="str">
        <f t="shared" si="18"/>
        <v/>
      </c>
      <c r="CA25" s="144" t="str">
        <f t="shared" si="18"/>
        <v/>
      </c>
      <c r="CB25" s="150" t="str">
        <f t="shared" si="18"/>
        <v/>
      </c>
      <c r="CC25" s="150" t="str">
        <f t="shared" si="18"/>
        <v/>
      </c>
      <c r="CD25" s="150" t="str">
        <f t="shared" si="18"/>
        <v/>
      </c>
      <c r="CE25" s="150" t="str">
        <f t="shared" si="18"/>
        <v/>
      </c>
      <c r="CF25" s="150" t="str">
        <f t="shared" si="18"/>
        <v/>
      </c>
      <c r="CG25" s="144" t="str">
        <f t="shared" si="18"/>
        <v/>
      </c>
      <c r="CH25" s="144" t="str">
        <f t="shared" si="18"/>
        <v/>
      </c>
      <c r="CI25" s="144" t="str">
        <f t="shared" si="18"/>
        <v/>
      </c>
      <c r="CJ25" s="144" t="str">
        <f t="shared" si="18"/>
        <v/>
      </c>
      <c r="CK25" s="144" t="str">
        <f t="shared" si="18"/>
        <v/>
      </c>
      <c r="CL25" s="151" t="str">
        <f t="shared" si="18"/>
        <v/>
      </c>
      <c r="CM25" s="151" t="str">
        <f t="shared" si="18"/>
        <v/>
      </c>
      <c r="CN25" s="151" t="str">
        <f t="shared" si="18"/>
        <v/>
      </c>
      <c r="CO25" s="151" t="str">
        <f t="shared" si="18"/>
        <v/>
      </c>
      <c r="CP25" s="151" t="str">
        <f t="shared" si="18"/>
        <v/>
      </c>
      <c r="CQ25" s="151" t="str">
        <f t="shared" si="18"/>
        <v/>
      </c>
      <c r="CR25" s="152" t="str">
        <f t="shared" si="18"/>
        <v/>
      </c>
      <c r="CS25" s="152" t="str">
        <f t="shared" si="18"/>
        <v/>
      </c>
      <c r="CT25" s="152" t="str">
        <f t="shared" si="18"/>
        <v/>
      </c>
      <c r="CU25" s="152" t="str">
        <f t="shared" si="18"/>
        <v/>
      </c>
    </row>
    <row r="26" ht="31.5" customHeight="1">
      <c r="B26" s="137" t="s">
        <v>70</v>
      </c>
      <c r="C26" s="138" t="s">
        <v>147</v>
      </c>
      <c r="D26" s="139" t="s">
        <v>114</v>
      </c>
      <c r="E26" s="140">
        <v>46272.0</v>
      </c>
      <c r="F26" s="140">
        <v>46276.0</v>
      </c>
      <c r="G26" s="141">
        <f t="shared" si="3"/>
        <v>5</v>
      </c>
      <c r="H26" s="142" t="s">
        <v>148</v>
      </c>
      <c r="I26" s="156">
        <v>1.0</v>
      </c>
      <c r="J26" s="144" t="str">
        <f t="shared" ref="J26:CU26" si="19">IF(AND(J$6&gt;=$E26,J$6&lt;=$F26),IF(NETWORKDAYS($E26,J$6)&lt;=ROUNDUP(NETWORKDAYS($E26,$F26)*$I26,0),2,1),"")</f>
        <v/>
      </c>
      <c r="K26" s="144" t="str">
        <f t="shared" si="19"/>
        <v/>
      </c>
      <c r="L26" s="144" t="str">
        <f t="shared" si="19"/>
        <v/>
      </c>
      <c r="M26" s="144" t="str">
        <f t="shared" si="19"/>
        <v/>
      </c>
      <c r="N26" s="144" t="str">
        <f t="shared" si="19"/>
        <v/>
      </c>
      <c r="O26" s="146" t="str">
        <f t="shared" si="19"/>
        <v/>
      </c>
      <c r="P26" s="146" t="str">
        <f t="shared" si="19"/>
        <v/>
      </c>
      <c r="Q26" s="146" t="str">
        <f t="shared" si="19"/>
        <v/>
      </c>
      <c r="R26" s="146" t="str">
        <f t="shared" si="19"/>
        <v/>
      </c>
      <c r="S26" s="146" t="str">
        <f t="shared" si="19"/>
        <v/>
      </c>
      <c r="T26" s="144" t="str">
        <f t="shared" si="19"/>
        <v/>
      </c>
      <c r="U26" s="144" t="str">
        <f t="shared" si="19"/>
        <v/>
      </c>
      <c r="V26" s="144" t="str">
        <f t="shared" si="19"/>
        <v/>
      </c>
      <c r="W26" s="144" t="str">
        <f t="shared" si="19"/>
        <v/>
      </c>
      <c r="X26" s="144" t="str">
        <f t="shared" si="19"/>
        <v/>
      </c>
      <c r="Y26" s="147" t="str">
        <f t="shared" si="19"/>
        <v/>
      </c>
      <c r="Z26" s="147" t="str">
        <f t="shared" si="19"/>
        <v/>
      </c>
      <c r="AA26" s="147" t="str">
        <f t="shared" si="19"/>
        <v/>
      </c>
      <c r="AB26" s="147" t="str">
        <f t="shared" si="19"/>
        <v/>
      </c>
      <c r="AC26" s="147" t="str">
        <f t="shared" si="19"/>
        <v/>
      </c>
      <c r="AD26" s="144">
        <f t="shared" si="19"/>
        <v>2</v>
      </c>
      <c r="AE26" s="144">
        <f t="shared" si="19"/>
        <v>2</v>
      </c>
      <c r="AF26" s="144">
        <f t="shared" si="19"/>
        <v>2</v>
      </c>
      <c r="AG26" s="144">
        <f t="shared" si="19"/>
        <v>2</v>
      </c>
      <c r="AH26" s="144">
        <f t="shared" si="19"/>
        <v>2</v>
      </c>
      <c r="AI26" s="148" t="str">
        <f t="shared" si="19"/>
        <v/>
      </c>
      <c r="AJ26" s="148" t="str">
        <f t="shared" si="19"/>
        <v/>
      </c>
      <c r="AK26" s="148" t="str">
        <f t="shared" si="19"/>
        <v/>
      </c>
      <c r="AL26" s="148" t="str">
        <f t="shared" si="19"/>
        <v/>
      </c>
      <c r="AM26" s="148" t="str">
        <f t="shared" si="19"/>
        <v/>
      </c>
      <c r="AN26" s="144" t="str">
        <f t="shared" si="19"/>
        <v/>
      </c>
      <c r="AO26" s="144" t="str">
        <f t="shared" si="19"/>
        <v/>
      </c>
      <c r="AP26" s="144" t="str">
        <f t="shared" si="19"/>
        <v/>
      </c>
      <c r="AQ26" s="144" t="str">
        <f t="shared" si="19"/>
        <v/>
      </c>
      <c r="AR26" s="144" t="str">
        <f t="shared" si="19"/>
        <v/>
      </c>
      <c r="AS26" s="148" t="str">
        <f t="shared" si="19"/>
        <v/>
      </c>
      <c r="AT26" s="148" t="str">
        <f t="shared" si="19"/>
        <v/>
      </c>
      <c r="AU26" s="148" t="str">
        <f t="shared" si="19"/>
        <v/>
      </c>
      <c r="AV26" s="148" t="str">
        <f t="shared" si="19"/>
        <v/>
      </c>
      <c r="AW26" s="148" t="str">
        <f t="shared" si="19"/>
        <v/>
      </c>
      <c r="AX26" s="144" t="str">
        <f t="shared" si="19"/>
        <v/>
      </c>
      <c r="AY26" s="144" t="str">
        <f t="shared" si="19"/>
        <v/>
      </c>
      <c r="AZ26" s="144" t="str">
        <f t="shared" si="19"/>
        <v/>
      </c>
      <c r="BA26" s="144" t="str">
        <f t="shared" si="19"/>
        <v/>
      </c>
      <c r="BB26" s="144" t="str">
        <f t="shared" si="19"/>
        <v/>
      </c>
      <c r="BC26" s="149" t="str">
        <f t="shared" si="19"/>
        <v/>
      </c>
      <c r="BD26" s="149" t="str">
        <f t="shared" si="19"/>
        <v/>
      </c>
      <c r="BE26" s="149" t="str">
        <f t="shared" si="19"/>
        <v/>
      </c>
      <c r="BF26" s="149" t="str">
        <f t="shared" si="19"/>
        <v/>
      </c>
      <c r="BG26" s="149" t="str">
        <f t="shared" si="19"/>
        <v/>
      </c>
      <c r="BH26" s="144" t="str">
        <f t="shared" si="19"/>
        <v/>
      </c>
      <c r="BI26" s="144" t="str">
        <f t="shared" si="19"/>
        <v/>
      </c>
      <c r="BJ26" s="144" t="str">
        <f t="shared" si="19"/>
        <v/>
      </c>
      <c r="BK26" s="144" t="str">
        <f t="shared" si="19"/>
        <v/>
      </c>
      <c r="BL26" s="144" t="str">
        <f t="shared" si="19"/>
        <v/>
      </c>
      <c r="BM26" s="149" t="str">
        <f t="shared" si="19"/>
        <v/>
      </c>
      <c r="BN26" s="149" t="str">
        <f t="shared" si="19"/>
        <v/>
      </c>
      <c r="BO26" s="149" t="str">
        <f t="shared" si="19"/>
        <v/>
      </c>
      <c r="BP26" s="149" t="str">
        <f t="shared" si="19"/>
        <v/>
      </c>
      <c r="BQ26" s="149" t="str">
        <f t="shared" si="19"/>
        <v/>
      </c>
      <c r="BR26" s="150" t="str">
        <f t="shared" si="19"/>
        <v/>
      </c>
      <c r="BS26" s="150" t="str">
        <f t="shared" si="19"/>
        <v/>
      </c>
      <c r="BT26" s="150" t="str">
        <f t="shared" si="19"/>
        <v/>
      </c>
      <c r="BU26" s="150" t="str">
        <f t="shared" si="19"/>
        <v/>
      </c>
      <c r="BV26" s="150" t="str">
        <f t="shared" si="19"/>
        <v/>
      </c>
      <c r="BW26" s="144" t="str">
        <f t="shared" si="19"/>
        <v/>
      </c>
      <c r="BX26" s="144" t="str">
        <f t="shared" si="19"/>
        <v/>
      </c>
      <c r="BY26" s="144" t="str">
        <f t="shared" si="19"/>
        <v/>
      </c>
      <c r="BZ26" s="144" t="str">
        <f t="shared" si="19"/>
        <v/>
      </c>
      <c r="CA26" s="144" t="str">
        <f t="shared" si="19"/>
        <v/>
      </c>
      <c r="CB26" s="150" t="str">
        <f t="shared" si="19"/>
        <v/>
      </c>
      <c r="CC26" s="150" t="str">
        <f t="shared" si="19"/>
        <v/>
      </c>
      <c r="CD26" s="150" t="str">
        <f t="shared" si="19"/>
        <v/>
      </c>
      <c r="CE26" s="150" t="str">
        <f t="shared" si="19"/>
        <v/>
      </c>
      <c r="CF26" s="150" t="str">
        <f t="shared" si="19"/>
        <v/>
      </c>
      <c r="CG26" s="144" t="str">
        <f t="shared" si="19"/>
        <v/>
      </c>
      <c r="CH26" s="144" t="str">
        <f t="shared" si="19"/>
        <v/>
      </c>
      <c r="CI26" s="144" t="str">
        <f t="shared" si="19"/>
        <v/>
      </c>
      <c r="CJ26" s="144" t="str">
        <f t="shared" si="19"/>
        <v/>
      </c>
      <c r="CK26" s="144" t="str">
        <f t="shared" si="19"/>
        <v/>
      </c>
      <c r="CL26" s="151" t="str">
        <f t="shared" si="19"/>
        <v/>
      </c>
      <c r="CM26" s="151" t="str">
        <f t="shared" si="19"/>
        <v/>
      </c>
      <c r="CN26" s="151" t="str">
        <f t="shared" si="19"/>
        <v/>
      </c>
      <c r="CO26" s="151" t="str">
        <f t="shared" si="19"/>
        <v/>
      </c>
      <c r="CP26" s="151" t="str">
        <f t="shared" si="19"/>
        <v/>
      </c>
      <c r="CQ26" s="151" t="str">
        <f t="shared" si="19"/>
        <v/>
      </c>
      <c r="CR26" s="152" t="str">
        <f t="shared" si="19"/>
        <v/>
      </c>
      <c r="CS26" s="152" t="str">
        <f t="shared" si="19"/>
        <v/>
      </c>
      <c r="CT26" s="152" t="str">
        <f t="shared" si="19"/>
        <v/>
      </c>
      <c r="CU26" s="152" t="str">
        <f t="shared" si="19"/>
        <v/>
      </c>
    </row>
    <row r="27" ht="31.5" customHeight="1">
      <c r="B27" s="153" t="s">
        <v>72</v>
      </c>
      <c r="C27" s="154" t="s">
        <v>149</v>
      </c>
      <c r="D27" s="139" t="s">
        <v>114</v>
      </c>
      <c r="E27" s="140">
        <v>46275.0</v>
      </c>
      <c r="F27" s="140">
        <v>46283.0</v>
      </c>
      <c r="G27" s="141">
        <f t="shared" si="3"/>
        <v>7</v>
      </c>
      <c r="H27" s="142" t="s">
        <v>150</v>
      </c>
      <c r="I27" s="156">
        <v>1.0</v>
      </c>
      <c r="J27" s="144" t="str">
        <f t="shared" ref="J27:CU27" si="20">IF(AND(J$6&gt;=$E27,J$6&lt;=$F27),IF(NETWORKDAYS($E27,J$6)&lt;=ROUNDUP(NETWORKDAYS($E27,$F27)*$I27,0),2,1),"")</f>
        <v/>
      </c>
      <c r="K27" s="144" t="str">
        <f t="shared" si="20"/>
        <v/>
      </c>
      <c r="L27" s="144" t="str">
        <f t="shared" si="20"/>
        <v/>
      </c>
      <c r="M27" s="144" t="str">
        <f t="shared" si="20"/>
        <v/>
      </c>
      <c r="N27" s="144" t="str">
        <f t="shared" si="20"/>
        <v/>
      </c>
      <c r="O27" s="146" t="str">
        <f t="shared" si="20"/>
        <v/>
      </c>
      <c r="P27" s="146" t="str">
        <f t="shared" si="20"/>
        <v/>
      </c>
      <c r="Q27" s="146" t="str">
        <f t="shared" si="20"/>
        <v/>
      </c>
      <c r="R27" s="146" t="str">
        <f t="shared" si="20"/>
        <v/>
      </c>
      <c r="S27" s="146" t="str">
        <f t="shared" si="20"/>
        <v/>
      </c>
      <c r="T27" s="144" t="str">
        <f t="shared" si="20"/>
        <v/>
      </c>
      <c r="U27" s="144" t="str">
        <f t="shared" si="20"/>
        <v/>
      </c>
      <c r="V27" s="144" t="str">
        <f t="shared" si="20"/>
        <v/>
      </c>
      <c r="W27" s="144" t="str">
        <f t="shared" si="20"/>
        <v/>
      </c>
      <c r="X27" s="144" t="str">
        <f t="shared" si="20"/>
        <v/>
      </c>
      <c r="Y27" s="147" t="str">
        <f t="shared" si="20"/>
        <v/>
      </c>
      <c r="Z27" s="147" t="str">
        <f t="shared" si="20"/>
        <v/>
      </c>
      <c r="AA27" s="147" t="str">
        <f t="shared" si="20"/>
        <v/>
      </c>
      <c r="AB27" s="147" t="str">
        <f t="shared" si="20"/>
        <v/>
      </c>
      <c r="AC27" s="147" t="str">
        <f t="shared" si="20"/>
        <v/>
      </c>
      <c r="AD27" s="144" t="str">
        <f t="shared" si="20"/>
        <v/>
      </c>
      <c r="AE27" s="144" t="str">
        <f t="shared" si="20"/>
        <v/>
      </c>
      <c r="AF27" s="144" t="str">
        <f t="shared" si="20"/>
        <v/>
      </c>
      <c r="AG27" s="144">
        <f t="shared" si="20"/>
        <v>2</v>
      </c>
      <c r="AH27" s="144">
        <f t="shared" si="20"/>
        <v>2</v>
      </c>
      <c r="AI27" s="148">
        <f t="shared" si="20"/>
        <v>2</v>
      </c>
      <c r="AJ27" s="148">
        <f t="shared" si="20"/>
        <v>2</v>
      </c>
      <c r="AK27" s="148">
        <f t="shared" si="20"/>
        <v>2</v>
      </c>
      <c r="AL27" s="148">
        <f t="shared" si="20"/>
        <v>2</v>
      </c>
      <c r="AM27" s="148">
        <f t="shared" si="20"/>
        <v>2</v>
      </c>
      <c r="AN27" s="144" t="str">
        <f t="shared" si="20"/>
        <v/>
      </c>
      <c r="AO27" s="144" t="str">
        <f t="shared" si="20"/>
        <v/>
      </c>
      <c r="AP27" s="144" t="str">
        <f t="shared" si="20"/>
        <v/>
      </c>
      <c r="AQ27" s="144" t="str">
        <f t="shared" si="20"/>
        <v/>
      </c>
      <c r="AR27" s="144" t="str">
        <f t="shared" si="20"/>
        <v/>
      </c>
      <c r="AS27" s="148" t="str">
        <f t="shared" si="20"/>
        <v/>
      </c>
      <c r="AT27" s="148" t="str">
        <f t="shared" si="20"/>
        <v/>
      </c>
      <c r="AU27" s="148" t="str">
        <f t="shared" si="20"/>
        <v/>
      </c>
      <c r="AV27" s="148" t="str">
        <f t="shared" si="20"/>
        <v/>
      </c>
      <c r="AW27" s="148" t="str">
        <f t="shared" si="20"/>
        <v/>
      </c>
      <c r="AX27" s="144" t="str">
        <f t="shared" si="20"/>
        <v/>
      </c>
      <c r="AY27" s="144" t="str">
        <f t="shared" si="20"/>
        <v/>
      </c>
      <c r="AZ27" s="144" t="str">
        <f t="shared" si="20"/>
        <v/>
      </c>
      <c r="BA27" s="144" t="str">
        <f t="shared" si="20"/>
        <v/>
      </c>
      <c r="BB27" s="144" t="str">
        <f t="shared" si="20"/>
        <v/>
      </c>
      <c r="BC27" s="149" t="str">
        <f t="shared" si="20"/>
        <v/>
      </c>
      <c r="BD27" s="149" t="str">
        <f t="shared" si="20"/>
        <v/>
      </c>
      <c r="BE27" s="149" t="str">
        <f t="shared" si="20"/>
        <v/>
      </c>
      <c r="BF27" s="149" t="str">
        <f t="shared" si="20"/>
        <v/>
      </c>
      <c r="BG27" s="149" t="str">
        <f t="shared" si="20"/>
        <v/>
      </c>
      <c r="BH27" s="144" t="str">
        <f t="shared" si="20"/>
        <v/>
      </c>
      <c r="BI27" s="144" t="str">
        <f t="shared" si="20"/>
        <v/>
      </c>
      <c r="BJ27" s="144" t="str">
        <f t="shared" si="20"/>
        <v/>
      </c>
      <c r="BK27" s="144" t="str">
        <f t="shared" si="20"/>
        <v/>
      </c>
      <c r="BL27" s="144" t="str">
        <f t="shared" si="20"/>
        <v/>
      </c>
      <c r="BM27" s="149" t="str">
        <f t="shared" si="20"/>
        <v/>
      </c>
      <c r="BN27" s="149" t="str">
        <f t="shared" si="20"/>
        <v/>
      </c>
      <c r="BO27" s="149" t="str">
        <f t="shared" si="20"/>
        <v/>
      </c>
      <c r="BP27" s="149" t="str">
        <f t="shared" si="20"/>
        <v/>
      </c>
      <c r="BQ27" s="149" t="str">
        <f t="shared" si="20"/>
        <v/>
      </c>
      <c r="BR27" s="150" t="str">
        <f t="shared" si="20"/>
        <v/>
      </c>
      <c r="BS27" s="150" t="str">
        <f t="shared" si="20"/>
        <v/>
      </c>
      <c r="BT27" s="150" t="str">
        <f t="shared" si="20"/>
        <v/>
      </c>
      <c r="BU27" s="150" t="str">
        <f t="shared" si="20"/>
        <v/>
      </c>
      <c r="BV27" s="150" t="str">
        <f t="shared" si="20"/>
        <v/>
      </c>
      <c r="BW27" s="144" t="str">
        <f t="shared" si="20"/>
        <v/>
      </c>
      <c r="BX27" s="144" t="str">
        <f t="shared" si="20"/>
        <v/>
      </c>
      <c r="BY27" s="144" t="str">
        <f t="shared" si="20"/>
        <v/>
      </c>
      <c r="BZ27" s="144" t="str">
        <f t="shared" si="20"/>
        <v/>
      </c>
      <c r="CA27" s="144" t="str">
        <f t="shared" si="20"/>
        <v/>
      </c>
      <c r="CB27" s="150" t="str">
        <f t="shared" si="20"/>
        <v/>
      </c>
      <c r="CC27" s="150" t="str">
        <f t="shared" si="20"/>
        <v/>
      </c>
      <c r="CD27" s="150" t="str">
        <f t="shared" si="20"/>
        <v/>
      </c>
      <c r="CE27" s="150" t="str">
        <f t="shared" si="20"/>
        <v/>
      </c>
      <c r="CF27" s="150" t="str">
        <f t="shared" si="20"/>
        <v/>
      </c>
      <c r="CG27" s="144" t="str">
        <f t="shared" si="20"/>
        <v/>
      </c>
      <c r="CH27" s="144" t="str">
        <f t="shared" si="20"/>
        <v/>
      </c>
      <c r="CI27" s="144" t="str">
        <f t="shared" si="20"/>
        <v/>
      </c>
      <c r="CJ27" s="144" t="str">
        <f t="shared" si="20"/>
        <v/>
      </c>
      <c r="CK27" s="144" t="str">
        <f t="shared" si="20"/>
        <v/>
      </c>
      <c r="CL27" s="151" t="str">
        <f t="shared" si="20"/>
        <v/>
      </c>
      <c r="CM27" s="151" t="str">
        <f t="shared" si="20"/>
        <v/>
      </c>
      <c r="CN27" s="151" t="str">
        <f t="shared" si="20"/>
        <v/>
      </c>
      <c r="CO27" s="151" t="str">
        <f t="shared" si="20"/>
        <v/>
      </c>
      <c r="CP27" s="151" t="str">
        <f t="shared" si="20"/>
        <v/>
      </c>
      <c r="CQ27" s="151" t="str">
        <f t="shared" si="20"/>
        <v/>
      </c>
      <c r="CR27" s="152" t="str">
        <f t="shared" si="20"/>
        <v/>
      </c>
      <c r="CS27" s="152" t="str">
        <f t="shared" si="20"/>
        <v/>
      </c>
      <c r="CT27" s="152" t="str">
        <f t="shared" si="20"/>
        <v/>
      </c>
      <c r="CU27" s="152" t="str">
        <f t="shared" si="20"/>
        <v/>
      </c>
    </row>
    <row r="28" ht="31.5" customHeight="1">
      <c r="B28" s="153" t="s">
        <v>74</v>
      </c>
      <c r="C28" s="154" t="s">
        <v>151</v>
      </c>
      <c r="D28" s="139" t="s">
        <v>114</v>
      </c>
      <c r="E28" s="140">
        <v>46286.0</v>
      </c>
      <c r="F28" s="140">
        <v>46290.0</v>
      </c>
      <c r="G28" s="141">
        <f t="shared" si="3"/>
        <v>5</v>
      </c>
      <c r="H28" s="142" t="s">
        <v>152</v>
      </c>
      <c r="I28" s="156">
        <v>1.0</v>
      </c>
      <c r="J28" s="144" t="str">
        <f t="shared" ref="J28:CU28" si="21">IF(AND(J$6&gt;=$E28,J$6&lt;=$F28),IF(NETWORKDAYS($E28,J$6)&lt;=ROUNDUP(NETWORKDAYS($E28,$F28)*$I28,0),2,1),"")</f>
        <v/>
      </c>
      <c r="K28" s="144" t="str">
        <f t="shared" si="21"/>
        <v/>
      </c>
      <c r="L28" s="144" t="str">
        <f t="shared" si="21"/>
        <v/>
      </c>
      <c r="M28" s="144" t="str">
        <f t="shared" si="21"/>
        <v/>
      </c>
      <c r="N28" s="144" t="str">
        <f t="shared" si="21"/>
        <v/>
      </c>
      <c r="O28" s="146" t="str">
        <f t="shared" si="21"/>
        <v/>
      </c>
      <c r="P28" s="146" t="str">
        <f t="shared" si="21"/>
        <v/>
      </c>
      <c r="Q28" s="146" t="str">
        <f t="shared" si="21"/>
        <v/>
      </c>
      <c r="R28" s="146" t="str">
        <f t="shared" si="21"/>
        <v/>
      </c>
      <c r="S28" s="146" t="str">
        <f t="shared" si="21"/>
        <v/>
      </c>
      <c r="T28" s="144" t="str">
        <f t="shared" si="21"/>
        <v/>
      </c>
      <c r="U28" s="144" t="str">
        <f t="shared" si="21"/>
        <v/>
      </c>
      <c r="V28" s="144" t="str">
        <f t="shared" si="21"/>
        <v/>
      </c>
      <c r="W28" s="144" t="str">
        <f t="shared" si="21"/>
        <v/>
      </c>
      <c r="X28" s="144" t="str">
        <f t="shared" si="21"/>
        <v/>
      </c>
      <c r="Y28" s="147" t="str">
        <f t="shared" si="21"/>
        <v/>
      </c>
      <c r="Z28" s="147" t="str">
        <f t="shared" si="21"/>
        <v/>
      </c>
      <c r="AA28" s="147" t="str">
        <f t="shared" si="21"/>
        <v/>
      </c>
      <c r="AB28" s="147" t="str">
        <f t="shared" si="21"/>
        <v/>
      </c>
      <c r="AC28" s="147" t="str">
        <f t="shared" si="21"/>
        <v/>
      </c>
      <c r="AD28" s="144" t="str">
        <f t="shared" si="21"/>
        <v/>
      </c>
      <c r="AE28" s="144" t="str">
        <f t="shared" si="21"/>
        <v/>
      </c>
      <c r="AF28" s="144" t="str">
        <f t="shared" si="21"/>
        <v/>
      </c>
      <c r="AG28" s="144" t="str">
        <f t="shared" si="21"/>
        <v/>
      </c>
      <c r="AH28" s="144" t="str">
        <f t="shared" si="21"/>
        <v/>
      </c>
      <c r="AI28" s="148" t="str">
        <f t="shared" si="21"/>
        <v/>
      </c>
      <c r="AJ28" s="148" t="str">
        <f t="shared" si="21"/>
        <v/>
      </c>
      <c r="AK28" s="148" t="str">
        <f t="shared" si="21"/>
        <v/>
      </c>
      <c r="AL28" s="148" t="str">
        <f t="shared" si="21"/>
        <v/>
      </c>
      <c r="AM28" s="148" t="str">
        <f t="shared" si="21"/>
        <v/>
      </c>
      <c r="AN28" s="144">
        <f t="shared" si="21"/>
        <v>2</v>
      </c>
      <c r="AO28" s="144">
        <f t="shared" si="21"/>
        <v>2</v>
      </c>
      <c r="AP28" s="144">
        <f t="shared" si="21"/>
        <v>2</v>
      </c>
      <c r="AQ28" s="144">
        <f t="shared" si="21"/>
        <v>2</v>
      </c>
      <c r="AR28" s="144">
        <f t="shared" si="21"/>
        <v>2</v>
      </c>
      <c r="AS28" s="148" t="str">
        <f t="shared" si="21"/>
        <v/>
      </c>
      <c r="AT28" s="148" t="str">
        <f t="shared" si="21"/>
        <v/>
      </c>
      <c r="AU28" s="148" t="str">
        <f t="shared" si="21"/>
        <v/>
      </c>
      <c r="AV28" s="148" t="str">
        <f t="shared" si="21"/>
        <v/>
      </c>
      <c r="AW28" s="148" t="str">
        <f t="shared" si="21"/>
        <v/>
      </c>
      <c r="AX28" s="144" t="str">
        <f t="shared" si="21"/>
        <v/>
      </c>
      <c r="AY28" s="144" t="str">
        <f t="shared" si="21"/>
        <v/>
      </c>
      <c r="AZ28" s="144" t="str">
        <f t="shared" si="21"/>
        <v/>
      </c>
      <c r="BA28" s="144" t="str">
        <f t="shared" si="21"/>
        <v/>
      </c>
      <c r="BB28" s="144" t="str">
        <f t="shared" si="21"/>
        <v/>
      </c>
      <c r="BC28" s="149" t="str">
        <f t="shared" si="21"/>
        <v/>
      </c>
      <c r="BD28" s="149" t="str">
        <f t="shared" si="21"/>
        <v/>
      </c>
      <c r="BE28" s="149" t="str">
        <f t="shared" si="21"/>
        <v/>
      </c>
      <c r="BF28" s="149" t="str">
        <f t="shared" si="21"/>
        <v/>
      </c>
      <c r="BG28" s="149" t="str">
        <f t="shared" si="21"/>
        <v/>
      </c>
      <c r="BH28" s="144" t="str">
        <f t="shared" si="21"/>
        <v/>
      </c>
      <c r="BI28" s="144" t="str">
        <f t="shared" si="21"/>
        <v/>
      </c>
      <c r="BJ28" s="144" t="str">
        <f t="shared" si="21"/>
        <v/>
      </c>
      <c r="BK28" s="144" t="str">
        <f t="shared" si="21"/>
        <v/>
      </c>
      <c r="BL28" s="144" t="str">
        <f t="shared" si="21"/>
        <v/>
      </c>
      <c r="BM28" s="149" t="str">
        <f t="shared" si="21"/>
        <v/>
      </c>
      <c r="BN28" s="149" t="str">
        <f t="shared" si="21"/>
        <v/>
      </c>
      <c r="BO28" s="149" t="str">
        <f t="shared" si="21"/>
        <v/>
      </c>
      <c r="BP28" s="149" t="str">
        <f t="shared" si="21"/>
        <v/>
      </c>
      <c r="BQ28" s="149" t="str">
        <f t="shared" si="21"/>
        <v/>
      </c>
      <c r="BR28" s="150" t="str">
        <f t="shared" si="21"/>
        <v/>
      </c>
      <c r="BS28" s="150" t="str">
        <f t="shared" si="21"/>
        <v/>
      </c>
      <c r="BT28" s="150" t="str">
        <f t="shared" si="21"/>
        <v/>
      </c>
      <c r="BU28" s="150" t="str">
        <f t="shared" si="21"/>
        <v/>
      </c>
      <c r="BV28" s="150" t="str">
        <f t="shared" si="21"/>
        <v/>
      </c>
      <c r="BW28" s="144" t="str">
        <f t="shared" si="21"/>
        <v/>
      </c>
      <c r="BX28" s="144" t="str">
        <f t="shared" si="21"/>
        <v/>
      </c>
      <c r="BY28" s="144" t="str">
        <f t="shared" si="21"/>
        <v/>
      </c>
      <c r="BZ28" s="144" t="str">
        <f t="shared" si="21"/>
        <v/>
      </c>
      <c r="CA28" s="144" t="str">
        <f t="shared" si="21"/>
        <v/>
      </c>
      <c r="CB28" s="150" t="str">
        <f t="shared" si="21"/>
        <v/>
      </c>
      <c r="CC28" s="150" t="str">
        <f t="shared" si="21"/>
        <v/>
      </c>
      <c r="CD28" s="150" t="str">
        <f t="shared" si="21"/>
        <v/>
      </c>
      <c r="CE28" s="150" t="str">
        <f t="shared" si="21"/>
        <v/>
      </c>
      <c r="CF28" s="150" t="str">
        <f t="shared" si="21"/>
        <v/>
      </c>
      <c r="CG28" s="144" t="str">
        <f t="shared" si="21"/>
        <v/>
      </c>
      <c r="CH28" s="144" t="str">
        <f t="shared" si="21"/>
        <v/>
      </c>
      <c r="CI28" s="144" t="str">
        <f t="shared" si="21"/>
        <v/>
      </c>
      <c r="CJ28" s="144" t="str">
        <f t="shared" si="21"/>
        <v/>
      </c>
      <c r="CK28" s="144" t="str">
        <f t="shared" si="21"/>
        <v/>
      </c>
      <c r="CL28" s="151" t="str">
        <f t="shared" si="21"/>
        <v/>
      </c>
      <c r="CM28" s="151" t="str">
        <f t="shared" si="21"/>
        <v/>
      </c>
      <c r="CN28" s="151" t="str">
        <f t="shared" si="21"/>
        <v/>
      </c>
      <c r="CO28" s="151" t="str">
        <f t="shared" si="21"/>
        <v/>
      </c>
      <c r="CP28" s="151" t="str">
        <f t="shared" si="21"/>
        <v/>
      </c>
      <c r="CQ28" s="151" t="str">
        <f t="shared" si="21"/>
        <v/>
      </c>
      <c r="CR28" s="152" t="str">
        <f t="shared" si="21"/>
        <v/>
      </c>
      <c r="CS28" s="152" t="str">
        <f t="shared" si="21"/>
        <v/>
      </c>
      <c r="CT28" s="152" t="str">
        <f t="shared" si="21"/>
        <v/>
      </c>
      <c r="CU28" s="152" t="str">
        <f t="shared" si="21"/>
        <v/>
      </c>
    </row>
    <row r="29" ht="31.5" customHeight="1">
      <c r="B29" s="153" t="s">
        <v>153</v>
      </c>
      <c r="C29" s="154" t="s">
        <v>154</v>
      </c>
      <c r="D29" s="139" t="s">
        <v>108</v>
      </c>
      <c r="E29" s="140">
        <v>46275.0</v>
      </c>
      <c r="F29" s="140">
        <v>46290.0</v>
      </c>
      <c r="G29" s="141">
        <f t="shared" si="3"/>
        <v>12</v>
      </c>
      <c r="H29" s="142" t="s">
        <v>155</v>
      </c>
      <c r="I29" s="156">
        <v>1.0</v>
      </c>
      <c r="J29" s="144" t="str">
        <f t="shared" ref="J29:CU29" si="22">IF(AND(J$6&gt;=$E29,J$6&lt;=$F29),IF(NETWORKDAYS($E29,J$6)&lt;=ROUNDUP(NETWORKDAYS($E29,$F29)*$I29,0),2,1),"")</f>
        <v/>
      </c>
      <c r="K29" s="144" t="str">
        <f t="shared" si="22"/>
        <v/>
      </c>
      <c r="L29" s="144" t="str">
        <f t="shared" si="22"/>
        <v/>
      </c>
      <c r="M29" s="144" t="str">
        <f t="shared" si="22"/>
        <v/>
      </c>
      <c r="N29" s="144" t="str">
        <f t="shared" si="22"/>
        <v/>
      </c>
      <c r="O29" s="146" t="str">
        <f t="shared" si="22"/>
        <v/>
      </c>
      <c r="P29" s="146" t="str">
        <f t="shared" si="22"/>
        <v/>
      </c>
      <c r="Q29" s="146" t="str">
        <f t="shared" si="22"/>
        <v/>
      </c>
      <c r="R29" s="146" t="str">
        <f t="shared" si="22"/>
        <v/>
      </c>
      <c r="S29" s="146" t="str">
        <f t="shared" si="22"/>
        <v/>
      </c>
      <c r="T29" s="144" t="str">
        <f t="shared" si="22"/>
        <v/>
      </c>
      <c r="U29" s="144" t="str">
        <f t="shared" si="22"/>
        <v/>
      </c>
      <c r="V29" s="144" t="str">
        <f t="shared" si="22"/>
        <v/>
      </c>
      <c r="W29" s="144" t="str">
        <f t="shared" si="22"/>
        <v/>
      </c>
      <c r="X29" s="144" t="str">
        <f t="shared" si="22"/>
        <v/>
      </c>
      <c r="Y29" s="147" t="str">
        <f t="shared" si="22"/>
        <v/>
      </c>
      <c r="Z29" s="147" t="str">
        <f t="shared" si="22"/>
        <v/>
      </c>
      <c r="AA29" s="147" t="str">
        <f t="shared" si="22"/>
        <v/>
      </c>
      <c r="AB29" s="147" t="str">
        <f t="shared" si="22"/>
        <v/>
      </c>
      <c r="AC29" s="147" t="str">
        <f t="shared" si="22"/>
        <v/>
      </c>
      <c r="AD29" s="144" t="str">
        <f t="shared" si="22"/>
        <v/>
      </c>
      <c r="AE29" s="144" t="str">
        <f t="shared" si="22"/>
        <v/>
      </c>
      <c r="AF29" s="144" t="str">
        <f t="shared" si="22"/>
        <v/>
      </c>
      <c r="AG29" s="144">
        <f t="shared" si="22"/>
        <v>2</v>
      </c>
      <c r="AH29" s="144">
        <f t="shared" si="22"/>
        <v>2</v>
      </c>
      <c r="AI29" s="148">
        <f t="shared" si="22"/>
        <v>2</v>
      </c>
      <c r="AJ29" s="148">
        <f t="shared" si="22"/>
        <v>2</v>
      </c>
      <c r="AK29" s="148">
        <f t="shared" si="22"/>
        <v>2</v>
      </c>
      <c r="AL29" s="148">
        <f t="shared" si="22"/>
        <v>2</v>
      </c>
      <c r="AM29" s="148">
        <f t="shared" si="22"/>
        <v>2</v>
      </c>
      <c r="AN29" s="144">
        <f t="shared" si="22"/>
        <v>2</v>
      </c>
      <c r="AO29" s="144">
        <f t="shared" si="22"/>
        <v>2</v>
      </c>
      <c r="AP29" s="144">
        <f t="shared" si="22"/>
        <v>2</v>
      </c>
      <c r="AQ29" s="144">
        <f t="shared" si="22"/>
        <v>2</v>
      </c>
      <c r="AR29" s="144">
        <f t="shared" si="22"/>
        <v>2</v>
      </c>
      <c r="AS29" s="148" t="str">
        <f t="shared" si="22"/>
        <v/>
      </c>
      <c r="AT29" s="148" t="str">
        <f t="shared" si="22"/>
        <v/>
      </c>
      <c r="AU29" s="148" t="str">
        <f t="shared" si="22"/>
        <v/>
      </c>
      <c r="AV29" s="148" t="str">
        <f t="shared" si="22"/>
        <v/>
      </c>
      <c r="AW29" s="148" t="str">
        <f t="shared" si="22"/>
        <v/>
      </c>
      <c r="AX29" s="144" t="str">
        <f t="shared" si="22"/>
        <v/>
      </c>
      <c r="AY29" s="144" t="str">
        <f t="shared" si="22"/>
        <v/>
      </c>
      <c r="AZ29" s="144" t="str">
        <f t="shared" si="22"/>
        <v/>
      </c>
      <c r="BA29" s="144" t="str">
        <f t="shared" si="22"/>
        <v/>
      </c>
      <c r="BB29" s="144" t="str">
        <f t="shared" si="22"/>
        <v/>
      </c>
      <c r="BC29" s="149" t="str">
        <f t="shared" si="22"/>
        <v/>
      </c>
      <c r="BD29" s="149" t="str">
        <f t="shared" si="22"/>
        <v/>
      </c>
      <c r="BE29" s="149" t="str">
        <f t="shared" si="22"/>
        <v/>
      </c>
      <c r="BF29" s="149" t="str">
        <f t="shared" si="22"/>
        <v/>
      </c>
      <c r="BG29" s="149" t="str">
        <f t="shared" si="22"/>
        <v/>
      </c>
      <c r="BH29" s="144" t="str">
        <f t="shared" si="22"/>
        <v/>
      </c>
      <c r="BI29" s="144" t="str">
        <f t="shared" si="22"/>
        <v/>
      </c>
      <c r="BJ29" s="144" t="str">
        <f t="shared" si="22"/>
        <v/>
      </c>
      <c r="BK29" s="144" t="str">
        <f t="shared" si="22"/>
        <v/>
      </c>
      <c r="BL29" s="144" t="str">
        <f t="shared" si="22"/>
        <v/>
      </c>
      <c r="BM29" s="149" t="str">
        <f t="shared" si="22"/>
        <v/>
      </c>
      <c r="BN29" s="149" t="str">
        <f t="shared" si="22"/>
        <v/>
      </c>
      <c r="BO29" s="149" t="str">
        <f t="shared" si="22"/>
        <v/>
      </c>
      <c r="BP29" s="149" t="str">
        <f t="shared" si="22"/>
        <v/>
      </c>
      <c r="BQ29" s="149" t="str">
        <f t="shared" si="22"/>
        <v/>
      </c>
      <c r="BR29" s="150" t="str">
        <f t="shared" si="22"/>
        <v/>
      </c>
      <c r="BS29" s="150" t="str">
        <f t="shared" si="22"/>
        <v/>
      </c>
      <c r="BT29" s="150" t="str">
        <f t="shared" si="22"/>
        <v/>
      </c>
      <c r="BU29" s="150" t="str">
        <f t="shared" si="22"/>
        <v/>
      </c>
      <c r="BV29" s="150" t="str">
        <f t="shared" si="22"/>
        <v/>
      </c>
      <c r="BW29" s="144" t="str">
        <f t="shared" si="22"/>
        <v/>
      </c>
      <c r="BX29" s="144" t="str">
        <f t="shared" si="22"/>
        <v/>
      </c>
      <c r="BY29" s="144" t="str">
        <f t="shared" si="22"/>
        <v/>
      </c>
      <c r="BZ29" s="144" t="str">
        <f t="shared" si="22"/>
        <v/>
      </c>
      <c r="CA29" s="144" t="str">
        <f t="shared" si="22"/>
        <v/>
      </c>
      <c r="CB29" s="150" t="str">
        <f t="shared" si="22"/>
        <v/>
      </c>
      <c r="CC29" s="150" t="str">
        <f t="shared" si="22"/>
        <v/>
      </c>
      <c r="CD29" s="150" t="str">
        <f t="shared" si="22"/>
        <v/>
      </c>
      <c r="CE29" s="150" t="str">
        <f t="shared" si="22"/>
        <v/>
      </c>
      <c r="CF29" s="150" t="str">
        <f t="shared" si="22"/>
        <v/>
      </c>
      <c r="CG29" s="144" t="str">
        <f t="shared" si="22"/>
        <v/>
      </c>
      <c r="CH29" s="144" t="str">
        <f t="shared" si="22"/>
        <v/>
      </c>
      <c r="CI29" s="144" t="str">
        <f t="shared" si="22"/>
        <v/>
      </c>
      <c r="CJ29" s="144" t="str">
        <f t="shared" si="22"/>
        <v/>
      </c>
      <c r="CK29" s="144" t="str">
        <f t="shared" si="22"/>
        <v/>
      </c>
      <c r="CL29" s="151" t="str">
        <f t="shared" si="22"/>
        <v/>
      </c>
      <c r="CM29" s="151" t="str">
        <f t="shared" si="22"/>
        <v/>
      </c>
      <c r="CN29" s="151" t="str">
        <f t="shared" si="22"/>
        <v/>
      </c>
      <c r="CO29" s="151" t="str">
        <f t="shared" si="22"/>
        <v/>
      </c>
      <c r="CP29" s="151" t="str">
        <f t="shared" si="22"/>
        <v/>
      </c>
      <c r="CQ29" s="151" t="str">
        <f t="shared" si="22"/>
        <v/>
      </c>
      <c r="CR29" s="152" t="str">
        <f t="shared" si="22"/>
        <v/>
      </c>
      <c r="CS29" s="152" t="str">
        <f t="shared" si="22"/>
        <v/>
      </c>
      <c r="CT29" s="152" t="str">
        <f t="shared" si="22"/>
        <v/>
      </c>
      <c r="CU29" s="152" t="str">
        <f t="shared" si="22"/>
        <v/>
      </c>
    </row>
    <row r="30" ht="31.5" customHeight="1">
      <c r="B30" s="153" t="s">
        <v>156</v>
      </c>
      <c r="C30" s="157" t="s">
        <v>157</v>
      </c>
      <c r="D30" s="139" t="s">
        <v>108</v>
      </c>
      <c r="E30" s="140">
        <v>46279.0</v>
      </c>
      <c r="F30" s="140">
        <v>46290.0</v>
      </c>
      <c r="G30" s="141">
        <f t="shared" si="3"/>
        <v>10</v>
      </c>
      <c r="H30" s="142" t="s">
        <v>158</v>
      </c>
      <c r="I30" s="156">
        <v>0.0</v>
      </c>
      <c r="J30" s="144" t="str">
        <f t="shared" ref="J30:CU30" si="23">IF(AND(J$6&gt;=$E30,J$6&lt;=$F30),IF(NETWORKDAYS($E30,J$6)&lt;=ROUNDUP(NETWORKDAYS($E30,$F30)*$I30,0),2,1),"")</f>
        <v/>
      </c>
      <c r="K30" s="144" t="str">
        <f t="shared" si="23"/>
        <v/>
      </c>
      <c r="L30" s="144" t="str">
        <f t="shared" si="23"/>
        <v/>
      </c>
      <c r="M30" s="144" t="str">
        <f t="shared" si="23"/>
        <v/>
      </c>
      <c r="N30" s="144" t="str">
        <f t="shared" si="23"/>
        <v/>
      </c>
      <c r="O30" s="146" t="str">
        <f t="shared" si="23"/>
        <v/>
      </c>
      <c r="P30" s="146" t="str">
        <f t="shared" si="23"/>
        <v/>
      </c>
      <c r="Q30" s="146" t="str">
        <f t="shared" si="23"/>
        <v/>
      </c>
      <c r="R30" s="146" t="str">
        <f t="shared" si="23"/>
        <v/>
      </c>
      <c r="S30" s="146" t="str">
        <f t="shared" si="23"/>
        <v/>
      </c>
      <c r="T30" s="144" t="str">
        <f t="shared" si="23"/>
        <v/>
      </c>
      <c r="U30" s="144" t="str">
        <f t="shared" si="23"/>
        <v/>
      </c>
      <c r="V30" s="144" t="str">
        <f t="shared" si="23"/>
        <v/>
      </c>
      <c r="W30" s="144" t="str">
        <f t="shared" si="23"/>
        <v/>
      </c>
      <c r="X30" s="144" t="str">
        <f t="shared" si="23"/>
        <v/>
      </c>
      <c r="Y30" s="147" t="str">
        <f t="shared" si="23"/>
        <v/>
      </c>
      <c r="Z30" s="147" t="str">
        <f t="shared" si="23"/>
        <v/>
      </c>
      <c r="AA30" s="147" t="str">
        <f t="shared" si="23"/>
        <v/>
      </c>
      <c r="AB30" s="147" t="str">
        <f t="shared" si="23"/>
        <v/>
      </c>
      <c r="AC30" s="147" t="str">
        <f t="shared" si="23"/>
        <v/>
      </c>
      <c r="AD30" s="144" t="str">
        <f t="shared" si="23"/>
        <v/>
      </c>
      <c r="AE30" s="144" t="str">
        <f t="shared" si="23"/>
        <v/>
      </c>
      <c r="AF30" s="144" t="str">
        <f t="shared" si="23"/>
        <v/>
      </c>
      <c r="AG30" s="144" t="str">
        <f t="shared" si="23"/>
        <v/>
      </c>
      <c r="AH30" s="144" t="str">
        <f t="shared" si="23"/>
        <v/>
      </c>
      <c r="AI30" s="148">
        <f t="shared" si="23"/>
        <v>1</v>
      </c>
      <c r="AJ30" s="148">
        <f t="shared" si="23"/>
        <v>1</v>
      </c>
      <c r="AK30" s="148">
        <f t="shared" si="23"/>
        <v>1</v>
      </c>
      <c r="AL30" s="148">
        <f t="shared" si="23"/>
        <v>1</v>
      </c>
      <c r="AM30" s="148">
        <f t="shared" si="23"/>
        <v>1</v>
      </c>
      <c r="AN30" s="144">
        <f t="shared" si="23"/>
        <v>1</v>
      </c>
      <c r="AO30" s="144">
        <f t="shared" si="23"/>
        <v>1</v>
      </c>
      <c r="AP30" s="144">
        <f t="shared" si="23"/>
        <v>1</v>
      </c>
      <c r="AQ30" s="144">
        <f t="shared" si="23"/>
        <v>1</v>
      </c>
      <c r="AR30" s="144">
        <f t="shared" si="23"/>
        <v>1</v>
      </c>
      <c r="AS30" s="148" t="str">
        <f t="shared" si="23"/>
        <v/>
      </c>
      <c r="AT30" s="148" t="str">
        <f t="shared" si="23"/>
        <v/>
      </c>
      <c r="AU30" s="148" t="str">
        <f t="shared" si="23"/>
        <v/>
      </c>
      <c r="AV30" s="148" t="str">
        <f t="shared" si="23"/>
        <v/>
      </c>
      <c r="AW30" s="148" t="str">
        <f t="shared" si="23"/>
        <v/>
      </c>
      <c r="AX30" s="144" t="str">
        <f t="shared" si="23"/>
        <v/>
      </c>
      <c r="AY30" s="144" t="str">
        <f t="shared" si="23"/>
        <v/>
      </c>
      <c r="AZ30" s="144" t="str">
        <f t="shared" si="23"/>
        <v/>
      </c>
      <c r="BA30" s="144" t="str">
        <f t="shared" si="23"/>
        <v/>
      </c>
      <c r="BB30" s="144" t="str">
        <f t="shared" si="23"/>
        <v/>
      </c>
      <c r="BC30" s="149" t="str">
        <f t="shared" si="23"/>
        <v/>
      </c>
      <c r="BD30" s="149" t="str">
        <f t="shared" si="23"/>
        <v/>
      </c>
      <c r="BE30" s="149" t="str">
        <f t="shared" si="23"/>
        <v/>
      </c>
      <c r="BF30" s="149" t="str">
        <f t="shared" si="23"/>
        <v/>
      </c>
      <c r="BG30" s="149" t="str">
        <f t="shared" si="23"/>
        <v/>
      </c>
      <c r="BH30" s="144" t="str">
        <f t="shared" si="23"/>
        <v/>
      </c>
      <c r="BI30" s="144" t="str">
        <f t="shared" si="23"/>
        <v/>
      </c>
      <c r="BJ30" s="144" t="str">
        <f t="shared" si="23"/>
        <v/>
      </c>
      <c r="BK30" s="144" t="str">
        <f t="shared" si="23"/>
        <v/>
      </c>
      <c r="BL30" s="144" t="str">
        <f t="shared" si="23"/>
        <v/>
      </c>
      <c r="BM30" s="149" t="str">
        <f t="shared" si="23"/>
        <v/>
      </c>
      <c r="BN30" s="149" t="str">
        <f t="shared" si="23"/>
        <v/>
      </c>
      <c r="BO30" s="149" t="str">
        <f t="shared" si="23"/>
        <v/>
      </c>
      <c r="BP30" s="149" t="str">
        <f t="shared" si="23"/>
        <v/>
      </c>
      <c r="BQ30" s="149" t="str">
        <f t="shared" si="23"/>
        <v/>
      </c>
      <c r="BR30" s="150" t="str">
        <f t="shared" si="23"/>
        <v/>
      </c>
      <c r="BS30" s="150" t="str">
        <f t="shared" si="23"/>
        <v/>
      </c>
      <c r="BT30" s="150" t="str">
        <f t="shared" si="23"/>
        <v/>
      </c>
      <c r="BU30" s="150" t="str">
        <f t="shared" si="23"/>
        <v/>
      </c>
      <c r="BV30" s="150" t="str">
        <f t="shared" si="23"/>
        <v/>
      </c>
      <c r="BW30" s="144" t="str">
        <f t="shared" si="23"/>
        <v/>
      </c>
      <c r="BX30" s="144" t="str">
        <f t="shared" si="23"/>
        <v/>
      </c>
      <c r="BY30" s="144" t="str">
        <f t="shared" si="23"/>
        <v/>
      </c>
      <c r="BZ30" s="144" t="str">
        <f t="shared" si="23"/>
        <v/>
      </c>
      <c r="CA30" s="144" t="str">
        <f t="shared" si="23"/>
        <v/>
      </c>
      <c r="CB30" s="150" t="str">
        <f t="shared" si="23"/>
        <v/>
      </c>
      <c r="CC30" s="150" t="str">
        <f t="shared" si="23"/>
        <v/>
      </c>
      <c r="CD30" s="150" t="str">
        <f t="shared" si="23"/>
        <v/>
      </c>
      <c r="CE30" s="150" t="str">
        <f t="shared" si="23"/>
        <v/>
      </c>
      <c r="CF30" s="150" t="str">
        <f t="shared" si="23"/>
        <v/>
      </c>
      <c r="CG30" s="144" t="str">
        <f t="shared" si="23"/>
        <v/>
      </c>
      <c r="CH30" s="144" t="str">
        <f t="shared" si="23"/>
        <v/>
      </c>
      <c r="CI30" s="144" t="str">
        <f t="shared" si="23"/>
        <v/>
      </c>
      <c r="CJ30" s="144" t="str">
        <f t="shared" si="23"/>
        <v/>
      </c>
      <c r="CK30" s="144" t="str">
        <f t="shared" si="23"/>
        <v/>
      </c>
      <c r="CL30" s="151" t="str">
        <f t="shared" si="23"/>
        <v/>
      </c>
      <c r="CM30" s="151" t="str">
        <f t="shared" si="23"/>
        <v/>
      </c>
      <c r="CN30" s="151" t="str">
        <f t="shared" si="23"/>
        <v/>
      </c>
      <c r="CO30" s="151" t="str">
        <f t="shared" si="23"/>
        <v/>
      </c>
      <c r="CP30" s="151" t="str">
        <f t="shared" si="23"/>
        <v/>
      </c>
      <c r="CQ30" s="151" t="str">
        <f t="shared" si="23"/>
        <v/>
      </c>
      <c r="CR30" s="152" t="str">
        <f t="shared" si="23"/>
        <v/>
      </c>
      <c r="CS30" s="152" t="str">
        <f t="shared" si="23"/>
        <v/>
      </c>
      <c r="CT30" s="152" t="str">
        <f t="shared" si="23"/>
        <v/>
      </c>
      <c r="CU30" s="152" t="str">
        <f t="shared" si="23"/>
        <v/>
      </c>
    </row>
    <row r="31" ht="21.75" customHeight="1">
      <c r="B31" s="115" t="s">
        <v>159</v>
      </c>
      <c r="C31" s="117" t="s">
        <v>160</v>
      </c>
      <c r="D31" s="118" t="s">
        <v>66</v>
      </c>
      <c r="E31" s="119">
        <v>46293.0</v>
      </c>
      <c r="F31" s="119">
        <v>46318.0</v>
      </c>
      <c r="G31" s="120">
        <f t="shared" si="3"/>
        <v>20</v>
      </c>
      <c r="H31" s="121" t="s">
        <v>69</v>
      </c>
      <c r="I31" s="122">
        <v>0.0</v>
      </c>
      <c r="J31" s="123" t="str">
        <f t="shared" ref="J31:CU31" si="24">IF(AND(J$6&gt;=$E31,J$6&lt;=$F31),IF(NETWORKDAYS($E31,J$6)&lt;=ROUNDUP(NETWORKDAYS($E31,$F31)*$I31,0),2,1),"")</f>
        <v/>
      </c>
      <c r="K31" s="123" t="str">
        <f t="shared" si="24"/>
        <v/>
      </c>
      <c r="L31" s="123" t="str">
        <f t="shared" si="24"/>
        <v/>
      </c>
      <c r="M31" s="123" t="str">
        <f t="shared" si="24"/>
        <v/>
      </c>
      <c r="N31" s="123" t="str">
        <f t="shared" si="24"/>
        <v/>
      </c>
      <c r="O31" s="123" t="str">
        <f t="shared" si="24"/>
        <v/>
      </c>
      <c r="P31" s="123" t="str">
        <f t="shared" si="24"/>
        <v/>
      </c>
      <c r="Q31" s="123" t="str">
        <f t="shared" si="24"/>
        <v/>
      </c>
      <c r="R31" s="123" t="str">
        <f t="shared" si="24"/>
        <v/>
      </c>
      <c r="S31" s="123" t="str">
        <f t="shared" si="24"/>
        <v/>
      </c>
      <c r="T31" s="123" t="str">
        <f t="shared" si="24"/>
        <v/>
      </c>
      <c r="U31" s="123" t="str">
        <f t="shared" si="24"/>
        <v/>
      </c>
      <c r="V31" s="123" t="str">
        <f t="shared" si="24"/>
        <v/>
      </c>
      <c r="W31" s="123" t="str">
        <f t="shared" si="24"/>
        <v/>
      </c>
      <c r="X31" s="123" t="str">
        <f t="shared" si="24"/>
        <v/>
      </c>
      <c r="Y31" s="123" t="str">
        <f t="shared" si="24"/>
        <v/>
      </c>
      <c r="Z31" s="123" t="str">
        <f t="shared" si="24"/>
        <v/>
      </c>
      <c r="AA31" s="123" t="str">
        <f t="shared" si="24"/>
        <v/>
      </c>
      <c r="AB31" s="123" t="str">
        <f t="shared" si="24"/>
        <v/>
      </c>
      <c r="AC31" s="123" t="str">
        <f t="shared" si="24"/>
        <v/>
      </c>
      <c r="AD31" s="123" t="str">
        <f t="shared" si="24"/>
        <v/>
      </c>
      <c r="AE31" s="123" t="str">
        <f t="shared" si="24"/>
        <v/>
      </c>
      <c r="AF31" s="123" t="str">
        <f t="shared" si="24"/>
        <v/>
      </c>
      <c r="AG31" s="123" t="str">
        <f t="shared" si="24"/>
        <v/>
      </c>
      <c r="AH31" s="123" t="str">
        <f t="shared" si="24"/>
        <v/>
      </c>
      <c r="AI31" s="123" t="str">
        <f t="shared" si="24"/>
        <v/>
      </c>
      <c r="AJ31" s="123" t="str">
        <f t="shared" si="24"/>
        <v/>
      </c>
      <c r="AK31" s="123" t="str">
        <f t="shared" si="24"/>
        <v/>
      </c>
      <c r="AL31" s="123" t="str">
        <f t="shared" si="24"/>
        <v/>
      </c>
      <c r="AM31" s="123" t="str">
        <f t="shared" si="24"/>
        <v/>
      </c>
      <c r="AN31" s="123" t="str">
        <f t="shared" si="24"/>
        <v/>
      </c>
      <c r="AO31" s="123" t="str">
        <f t="shared" si="24"/>
        <v/>
      </c>
      <c r="AP31" s="123" t="str">
        <f t="shared" si="24"/>
        <v/>
      </c>
      <c r="AQ31" s="123" t="str">
        <f t="shared" si="24"/>
        <v/>
      </c>
      <c r="AR31" s="123" t="str">
        <f t="shared" si="24"/>
        <v/>
      </c>
      <c r="AS31" s="123">
        <f t="shared" si="24"/>
        <v>1</v>
      </c>
      <c r="AT31" s="123">
        <f t="shared" si="24"/>
        <v>1</v>
      </c>
      <c r="AU31" s="123">
        <f t="shared" si="24"/>
        <v>1</v>
      </c>
      <c r="AV31" s="123">
        <f t="shared" si="24"/>
        <v>1</v>
      </c>
      <c r="AW31" s="123">
        <f t="shared" si="24"/>
        <v>1</v>
      </c>
      <c r="AX31" s="123">
        <f t="shared" si="24"/>
        <v>1</v>
      </c>
      <c r="AY31" s="123">
        <f t="shared" si="24"/>
        <v>1</v>
      </c>
      <c r="AZ31" s="123">
        <f t="shared" si="24"/>
        <v>1</v>
      </c>
      <c r="BA31" s="123">
        <f t="shared" si="24"/>
        <v>1</v>
      </c>
      <c r="BB31" s="123">
        <f t="shared" si="24"/>
        <v>1</v>
      </c>
      <c r="BC31" s="123">
        <f t="shared" si="24"/>
        <v>1</v>
      </c>
      <c r="BD31" s="123">
        <f t="shared" si="24"/>
        <v>1</v>
      </c>
      <c r="BE31" s="123">
        <f t="shared" si="24"/>
        <v>1</v>
      </c>
      <c r="BF31" s="123">
        <f t="shared" si="24"/>
        <v>1</v>
      </c>
      <c r="BG31" s="123">
        <f t="shared" si="24"/>
        <v>1</v>
      </c>
      <c r="BH31" s="123">
        <f t="shared" si="24"/>
        <v>1</v>
      </c>
      <c r="BI31" s="123">
        <f t="shared" si="24"/>
        <v>1</v>
      </c>
      <c r="BJ31" s="123">
        <f t="shared" si="24"/>
        <v>1</v>
      </c>
      <c r="BK31" s="123">
        <f t="shared" si="24"/>
        <v>1</v>
      </c>
      <c r="BL31" s="123">
        <f t="shared" si="24"/>
        <v>1</v>
      </c>
      <c r="BM31" s="123" t="str">
        <f t="shared" si="24"/>
        <v/>
      </c>
      <c r="BN31" s="123" t="str">
        <f t="shared" si="24"/>
        <v/>
      </c>
      <c r="BO31" s="123" t="str">
        <f t="shared" si="24"/>
        <v/>
      </c>
      <c r="BP31" s="123" t="str">
        <f t="shared" si="24"/>
        <v/>
      </c>
      <c r="BQ31" s="123" t="str">
        <f t="shared" si="24"/>
        <v/>
      </c>
      <c r="BR31" s="123" t="str">
        <f t="shared" si="24"/>
        <v/>
      </c>
      <c r="BS31" s="123" t="str">
        <f t="shared" si="24"/>
        <v/>
      </c>
      <c r="BT31" s="123" t="str">
        <f t="shared" si="24"/>
        <v/>
      </c>
      <c r="BU31" s="123" t="str">
        <f t="shared" si="24"/>
        <v/>
      </c>
      <c r="BV31" s="123" t="str">
        <f t="shared" si="24"/>
        <v/>
      </c>
      <c r="BW31" s="123" t="str">
        <f t="shared" si="24"/>
        <v/>
      </c>
      <c r="BX31" s="123" t="str">
        <f t="shared" si="24"/>
        <v/>
      </c>
      <c r="BY31" s="123" t="str">
        <f t="shared" si="24"/>
        <v/>
      </c>
      <c r="BZ31" s="123" t="str">
        <f t="shared" si="24"/>
        <v/>
      </c>
      <c r="CA31" s="123" t="str">
        <f t="shared" si="24"/>
        <v/>
      </c>
      <c r="CB31" s="123" t="str">
        <f t="shared" si="24"/>
        <v/>
      </c>
      <c r="CC31" s="123" t="str">
        <f t="shared" si="24"/>
        <v/>
      </c>
      <c r="CD31" s="123" t="str">
        <f t="shared" si="24"/>
        <v/>
      </c>
      <c r="CE31" s="123" t="str">
        <f t="shared" si="24"/>
        <v/>
      </c>
      <c r="CF31" s="123" t="str">
        <f t="shared" si="24"/>
        <v/>
      </c>
      <c r="CG31" s="123" t="str">
        <f t="shared" si="24"/>
        <v/>
      </c>
      <c r="CH31" s="123" t="str">
        <f t="shared" si="24"/>
        <v/>
      </c>
      <c r="CI31" s="123" t="str">
        <f t="shared" si="24"/>
        <v/>
      </c>
      <c r="CJ31" s="123" t="str">
        <f t="shared" si="24"/>
        <v/>
      </c>
      <c r="CK31" s="123" t="str">
        <f t="shared" si="24"/>
        <v/>
      </c>
      <c r="CL31" s="123" t="str">
        <f t="shared" si="24"/>
        <v/>
      </c>
      <c r="CM31" s="123" t="str">
        <f t="shared" si="24"/>
        <v/>
      </c>
      <c r="CN31" s="123" t="str">
        <f t="shared" si="24"/>
        <v/>
      </c>
      <c r="CO31" s="123" t="str">
        <f t="shared" si="24"/>
        <v/>
      </c>
      <c r="CP31" s="123" t="str">
        <f t="shared" si="24"/>
        <v/>
      </c>
      <c r="CQ31" s="123" t="str">
        <f t="shared" si="24"/>
        <v/>
      </c>
      <c r="CR31" s="136" t="str">
        <f t="shared" si="24"/>
        <v/>
      </c>
      <c r="CS31" s="136" t="str">
        <f t="shared" si="24"/>
        <v/>
      </c>
      <c r="CT31" s="136" t="str">
        <f t="shared" si="24"/>
        <v/>
      </c>
      <c r="CU31" s="136" t="str">
        <f t="shared" si="24"/>
        <v/>
      </c>
    </row>
    <row r="32" ht="31.5" customHeight="1">
      <c r="B32" s="153" t="s">
        <v>77</v>
      </c>
      <c r="C32" s="154" t="s">
        <v>161</v>
      </c>
      <c r="D32" s="139" t="s">
        <v>114</v>
      </c>
      <c r="E32" s="140">
        <v>46293.0</v>
      </c>
      <c r="F32" s="140">
        <v>46297.0</v>
      </c>
      <c r="G32" s="141">
        <f t="shared" si="3"/>
        <v>5</v>
      </c>
      <c r="H32" s="142" t="s">
        <v>162</v>
      </c>
      <c r="I32" s="156">
        <v>0.9</v>
      </c>
      <c r="J32" s="144" t="str">
        <f t="shared" ref="J32:CU32" si="25">IF(AND(J$6&gt;=$E32,J$6&lt;=$F32),IF(NETWORKDAYS($E32,J$6)&lt;=ROUNDUP(NETWORKDAYS($E32,$F32)*$I32,0),2,1),"")</f>
        <v/>
      </c>
      <c r="K32" s="144" t="str">
        <f t="shared" si="25"/>
        <v/>
      </c>
      <c r="L32" s="144" t="str">
        <f t="shared" si="25"/>
        <v/>
      </c>
      <c r="M32" s="144" t="str">
        <f t="shared" si="25"/>
        <v/>
      </c>
      <c r="N32" s="144" t="str">
        <f t="shared" si="25"/>
        <v/>
      </c>
      <c r="O32" s="146" t="str">
        <f t="shared" si="25"/>
        <v/>
      </c>
      <c r="P32" s="146" t="str">
        <f t="shared" si="25"/>
        <v/>
      </c>
      <c r="Q32" s="146" t="str">
        <f t="shared" si="25"/>
        <v/>
      </c>
      <c r="R32" s="146" t="str">
        <f t="shared" si="25"/>
        <v/>
      </c>
      <c r="S32" s="146" t="str">
        <f t="shared" si="25"/>
        <v/>
      </c>
      <c r="T32" s="144" t="str">
        <f t="shared" si="25"/>
        <v/>
      </c>
      <c r="U32" s="144" t="str">
        <f t="shared" si="25"/>
        <v/>
      </c>
      <c r="V32" s="144" t="str">
        <f t="shared" si="25"/>
        <v/>
      </c>
      <c r="W32" s="144" t="str">
        <f t="shared" si="25"/>
        <v/>
      </c>
      <c r="X32" s="144" t="str">
        <f t="shared" si="25"/>
        <v/>
      </c>
      <c r="Y32" s="147" t="str">
        <f t="shared" si="25"/>
        <v/>
      </c>
      <c r="Z32" s="147" t="str">
        <f t="shared" si="25"/>
        <v/>
      </c>
      <c r="AA32" s="147" t="str">
        <f t="shared" si="25"/>
        <v/>
      </c>
      <c r="AB32" s="147" t="str">
        <f t="shared" si="25"/>
        <v/>
      </c>
      <c r="AC32" s="147" t="str">
        <f t="shared" si="25"/>
        <v/>
      </c>
      <c r="AD32" s="144" t="str">
        <f t="shared" si="25"/>
        <v/>
      </c>
      <c r="AE32" s="144" t="str">
        <f t="shared" si="25"/>
        <v/>
      </c>
      <c r="AF32" s="144" t="str">
        <f t="shared" si="25"/>
        <v/>
      </c>
      <c r="AG32" s="144" t="str">
        <f t="shared" si="25"/>
        <v/>
      </c>
      <c r="AH32" s="144" t="str">
        <f t="shared" si="25"/>
        <v/>
      </c>
      <c r="AI32" s="148" t="str">
        <f t="shared" si="25"/>
        <v/>
      </c>
      <c r="AJ32" s="148" t="str">
        <f t="shared" si="25"/>
        <v/>
      </c>
      <c r="AK32" s="148" t="str">
        <f t="shared" si="25"/>
        <v/>
      </c>
      <c r="AL32" s="148" t="str">
        <f t="shared" si="25"/>
        <v/>
      </c>
      <c r="AM32" s="148" t="str">
        <f t="shared" si="25"/>
        <v/>
      </c>
      <c r="AN32" s="144" t="str">
        <f t="shared" si="25"/>
        <v/>
      </c>
      <c r="AO32" s="144" t="str">
        <f t="shared" si="25"/>
        <v/>
      </c>
      <c r="AP32" s="144" t="str">
        <f t="shared" si="25"/>
        <v/>
      </c>
      <c r="AQ32" s="144" t="str">
        <f t="shared" si="25"/>
        <v/>
      </c>
      <c r="AR32" s="144" t="str">
        <f t="shared" si="25"/>
        <v/>
      </c>
      <c r="AS32" s="148">
        <f t="shared" si="25"/>
        <v>2</v>
      </c>
      <c r="AT32" s="148">
        <f t="shared" si="25"/>
        <v>2</v>
      </c>
      <c r="AU32" s="148">
        <f t="shared" si="25"/>
        <v>2</v>
      </c>
      <c r="AV32" s="148">
        <f t="shared" si="25"/>
        <v>2</v>
      </c>
      <c r="AW32" s="148">
        <f t="shared" si="25"/>
        <v>2</v>
      </c>
      <c r="AX32" s="144" t="str">
        <f t="shared" si="25"/>
        <v/>
      </c>
      <c r="AY32" s="144" t="str">
        <f t="shared" si="25"/>
        <v/>
      </c>
      <c r="AZ32" s="144" t="str">
        <f t="shared" si="25"/>
        <v/>
      </c>
      <c r="BA32" s="144" t="str">
        <f t="shared" si="25"/>
        <v/>
      </c>
      <c r="BB32" s="144" t="str">
        <f t="shared" si="25"/>
        <v/>
      </c>
      <c r="BC32" s="149" t="str">
        <f t="shared" si="25"/>
        <v/>
      </c>
      <c r="BD32" s="149" t="str">
        <f t="shared" si="25"/>
        <v/>
      </c>
      <c r="BE32" s="149" t="str">
        <f t="shared" si="25"/>
        <v/>
      </c>
      <c r="BF32" s="149" t="str">
        <f t="shared" si="25"/>
        <v/>
      </c>
      <c r="BG32" s="149" t="str">
        <f t="shared" si="25"/>
        <v/>
      </c>
      <c r="BH32" s="144" t="str">
        <f t="shared" si="25"/>
        <v/>
      </c>
      <c r="BI32" s="144" t="str">
        <f t="shared" si="25"/>
        <v/>
      </c>
      <c r="BJ32" s="144" t="str">
        <f t="shared" si="25"/>
        <v/>
      </c>
      <c r="BK32" s="144" t="str">
        <f t="shared" si="25"/>
        <v/>
      </c>
      <c r="BL32" s="144" t="str">
        <f t="shared" si="25"/>
        <v/>
      </c>
      <c r="BM32" s="149" t="str">
        <f t="shared" si="25"/>
        <v/>
      </c>
      <c r="BN32" s="149" t="str">
        <f t="shared" si="25"/>
        <v/>
      </c>
      <c r="BO32" s="149" t="str">
        <f t="shared" si="25"/>
        <v/>
      </c>
      <c r="BP32" s="149" t="str">
        <f t="shared" si="25"/>
        <v/>
      </c>
      <c r="BQ32" s="149" t="str">
        <f t="shared" si="25"/>
        <v/>
      </c>
      <c r="BR32" s="150" t="str">
        <f t="shared" si="25"/>
        <v/>
      </c>
      <c r="BS32" s="150" t="str">
        <f t="shared" si="25"/>
        <v/>
      </c>
      <c r="BT32" s="150" t="str">
        <f t="shared" si="25"/>
        <v/>
      </c>
      <c r="BU32" s="150" t="str">
        <f t="shared" si="25"/>
        <v/>
      </c>
      <c r="BV32" s="150" t="str">
        <f t="shared" si="25"/>
        <v/>
      </c>
      <c r="BW32" s="144" t="str">
        <f t="shared" si="25"/>
        <v/>
      </c>
      <c r="BX32" s="144" t="str">
        <f t="shared" si="25"/>
        <v/>
      </c>
      <c r="BY32" s="144" t="str">
        <f t="shared" si="25"/>
        <v/>
      </c>
      <c r="BZ32" s="144" t="str">
        <f t="shared" si="25"/>
        <v/>
      </c>
      <c r="CA32" s="144" t="str">
        <f t="shared" si="25"/>
        <v/>
      </c>
      <c r="CB32" s="150" t="str">
        <f t="shared" si="25"/>
        <v/>
      </c>
      <c r="CC32" s="150" t="str">
        <f t="shared" si="25"/>
        <v/>
      </c>
      <c r="CD32" s="150" t="str">
        <f t="shared" si="25"/>
        <v/>
      </c>
      <c r="CE32" s="150" t="str">
        <f t="shared" si="25"/>
        <v/>
      </c>
      <c r="CF32" s="150" t="str">
        <f t="shared" si="25"/>
        <v/>
      </c>
      <c r="CG32" s="144" t="str">
        <f t="shared" si="25"/>
        <v/>
      </c>
      <c r="CH32" s="144" t="str">
        <f t="shared" si="25"/>
        <v/>
      </c>
      <c r="CI32" s="144" t="str">
        <f t="shared" si="25"/>
        <v/>
      </c>
      <c r="CJ32" s="144" t="str">
        <f t="shared" si="25"/>
        <v/>
      </c>
      <c r="CK32" s="144" t="str">
        <f t="shared" si="25"/>
        <v/>
      </c>
      <c r="CL32" s="151" t="str">
        <f t="shared" si="25"/>
        <v/>
      </c>
      <c r="CM32" s="151" t="str">
        <f t="shared" si="25"/>
        <v/>
      </c>
      <c r="CN32" s="151" t="str">
        <f t="shared" si="25"/>
        <v/>
      </c>
      <c r="CO32" s="151" t="str">
        <f t="shared" si="25"/>
        <v/>
      </c>
      <c r="CP32" s="151" t="str">
        <f t="shared" si="25"/>
        <v/>
      </c>
      <c r="CQ32" s="151" t="str">
        <f t="shared" si="25"/>
        <v/>
      </c>
      <c r="CR32" s="152" t="str">
        <f t="shared" si="25"/>
        <v/>
      </c>
      <c r="CS32" s="152" t="str">
        <f t="shared" si="25"/>
        <v/>
      </c>
      <c r="CT32" s="152" t="str">
        <f t="shared" si="25"/>
        <v/>
      </c>
      <c r="CU32" s="152" t="str">
        <f t="shared" si="25"/>
        <v/>
      </c>
    </row>
    <row r="33" ht="31.5" customHeight="1">
      <c r="A33" s="158"/>
      <c r="B33" s="153" t="s">
        <v>79</v>
      </c>
      <c r="C33" s="154" t="s">
        <v>163</v>
      </c>
      <c r="D33" s="139" t="s">
        <v>114</v>
      </c>
      <c r="E33" s="140">
        <v>46300.0</v>
      </c>
      <c r="F33" s="140">
        <v>46304.0</v>
      </c>
      <c r="G33" s="141">
        <f t="shared" si="3"/>
        <v>5</v>
      </c>
      <c r="H33" s="142" t="s">
        <v>164</v>
      </c>
      <c r="I33" s="143">
        <v>0.0</v>
      </c>
      <c r="J33" s="144" t="str">
        <f t="shared" ref="J33:CU33" si="26">IF(AND(J$6&gt;=$E33,J$6&lt;=$F33),IF(NETWORKDAYS($E33,J$6)&lt;=ROUNDUP(NETWORKDAYS($E33,$F33)*$I33,0),2,1),"")</f>
        <v/>
      </c>
      <c r="K33" s="144" t="str">
        <f t="shared" si="26"/>
        <v/>
      </c>
      <c r="L33" s="144" t="str">
        <f t="shared" si="26"/>
        <v/>
      </c>
      <c r="M33" s="144" t="str">
        <f t="shared" si="26"/>
        <v/>
      </c>
      <c r="N33" s="144" t="str">
        <f t="shared" si="26"/>
        <v/>
      </c>
      <c r="O33" s="146" t="str">
        <f t="shared" si="26"/>
        <v/>
      </c>
      <c r="P33" s="146" t="str">
        <f t="shared" si="26"/>
        <v/>
      </c>
      <c r="Q33" s="146" t="str">
        <f t="shared" si="26"/>
        <v/>
      </c>
      <c r="R33" s="146" t="str">
        <f t="shared" si="26"/>
        <v/>
      </c>
      <c r="S33" s="146" t="str">
        <f t="shared" si="26"/>
        <v/>
      </c>
      <c r="T33" s="144" t="str">
        <f t="shared" si="26"/>
        <v/>
      </c>
      <c r="U33" s="144" t="str">
        <f t="shared" si="26"/>
        <v/>
      </c>
      <c r="V33" s="144" t="str">
        <f t="shared" si="26"/>
        <v/>
      </c>
      <c r="W33" s="144" t="str">
        <f t="shared" si="26"/>
        <v/>
      </c>
      <c r="X33" s="144" t="str">
        <f t="shared" si="26"/>
        <v/>
      </c>
      <c r="Y33" s="147" t="str">
        <f t="shared" si="26"/>
        <v/>
      </c>
      <c r="Z33" s="147" t="str">
        <f t="shared" si="26"/>
        <v/>
      </c>
      <c r="AA33" s="147" t="str">
        <f t="shared" si="26"/>
        <v/>
      </c>
      <c r="AB33" s="147" t="str">
        <f t="shared" si="26"/>
        <v/>
      </c>
      <c r="AC33" s="147" t="str">
        <f t="shared" si="26"/>
        <v/>
      </c>
      <c r="AD33" s="144" t="str">
        <f t="shared" si="26"/>
        <v/>
      </c>
      <c r="AE33" s="144" t="str">
        <f t="shared" si="26"/>
        <v/>
      </c>
      <c r="AF33" s="144" t="str">
        <f t="shared" si="26"/>
        <v/>
      </c>
      <c r="AG33" s="144" t="str">
        <f t="shared" si="26"/>
        <v/>
      </c>
      <c r="AH33" s="144" t="str">
        <f t="shared" si="26"/>
        <v/>
      </c>
      <c r="AI33" s="148" t="str">
        <f t="shared" si="26"/>
        <v/>
      </c>
      <c r="AJ33" s="148" t="str">
        <f t="shared" si="26"/>
        <v/>
      </c>
      <c r="AK33" s="148" t="str">
        <f t="shared" si="26"/>
        <v/>
      </c>
      <c r="AL33" s="148" t="str">
        <f t="shared" si="26"/>
        <v/>
      </c>
      <c r="AM33" s="148" t="str">
        <f t="shared" si="26"/>
        <v/>
      </c>
      <c r="AN33" s="144" t="str">
        <f t="shared" si="26"/>
        <v/>
      </c>
      <c r="AO33" s="144" t="str">
        <f t="shared" si="26"/>
        <v/>
      </c>
      <c r="AP33" s="144" t="str">
        <f t="shared" si="26"/>
        <v/>
      </c>
      <c r="AQ33" s="144" t="str">
        <f t="shared" si="26"/>
        <v/>
      </c>
      <c r="AR33" s="144" t="str">
        <f t="shared" si="26"/>
        <v/>
      </c>
      <c r="AS33" s="148" t="str">
        <f t="shared" si="26"/>
        <v/>
      </c>
      <c r="AT33" s="148" t="str">
        <f t="shared" si="26"/>
        <v/>
      </c>
      <c r="AU33" s="148" t="str">
        <f t="shared" si="26"/>
        <v/>
      </c>
      <c r="AV33" s="148" t="str">
        <f t="shared" si="26"/>
        <v/>
      </c>
      <c r="AW33" s="148" t="str">
        <f t="shared" si="26"/>
        <v/>
      </c>
      <c r="AX33" s="144">
        <f t="shared" si="26"/>
        <v>1</v>
      </c>
      <c r="AY33" s="144">
        <f t="shared" si="26"/>
        <v>1</v>
      </c>
      <c r="AZ33" s="144">
        <f t="shared" si="26"/>
        <v>1</v>
      </c>
      <c r="BA33" s="144">
        <f t="shared" si="26"/>
        <v>1</v>
      </c>
      <c r="BB33" s="144">
        <f t="shared" si="26"/>
        <v>1</v>
      </c>
      <c r="BC33" s="149" t="str">
        <f t="shared" si="26"/>
        <v/>
      </c>
      <c r="BD33" s="149" t="str">
        <f t="shared" si="26"/>
        <v/>
      </c>
      <c r="BE33" s="149" t="str">
        <f t="shared" si="26"/>
        <v/>
      </c>
      <c r="BF33" s="149" t="str">
        <f t="shared" si="26"/>
        <v/>
      </c>
      <c r="BG33" s="149" t="str">
        <f t="shared" si="26"/>
        <v/>
      </c>
      <c r="BH33" s="144" t="str">
        <f t="shared" si="26"/>
        <v/>
      </c>
      <c r="BI33" s="144" t="str">
        <f t="shared" si="26"/>
        <v/>
      </c>
      <c r="BJ33" s="144" t="str">
        <f t="shared" si="26"/>
        <v/>
      </c>
      <c r="BK33" s="144" t="str">
        <f t="shared" si="26"/>
        <v/>
      </c>
      <c r="BL33" s="144" t="str">
        <f t="shared" si="26"/>
        <v/>
      </c>
      <c r="BM33" s="149" t="str">
        <f t="shared" si="26"/>
        <v/>
      </c>
      <c r="BN33" s="149" t="str">
        <f t="shared" si="26"/>
        <v/>
      </c>
      <c r="BO33" s="149" t="str">
        <f t="shared" si="26"/>
        <v/>
      </c>
      <c r="BP33" s="149" t="str">
        <f t="shared" si="26"/>
        <v/>
      </c>
      <c r="BQ33" s="149" t="str">
        <f t="shared" si="26"/>
        <v/>
      </c>
      <c r="BR33" s="150" t="str">
        <f t="shared" si="26"/>
        <v/>
      </c>
      <c r="BS33" s="150" t="str">
        <f t="shared" si="26"/>
        <v/>
      </c>
      <c r="BT33" s="150" t="str">
        <f t="shared" si="26"/>
        <v/>
      </c>
      <c r="BU33" s="150" t="str">
        <f t="shared" si="26"/>
        <v/>
      </c>
      <c r="BV33" s="150" t="str">
        <f t="shared" si="26"/>
        <v/>
      </c>
      <c r="BW33" s="144" t="str">
        <f t="shared" si="26"/>
        <v/>
      </c>
      <c r="BX33" s="144" t="str">
        <f t="shared" si="26"/>
        <v/>
      </c>
      <c r="BY33" s="144" t="str">
        <f t="shared" si="26"/>
        <v/>
      </c>
      <c r="BZ33" s="144" t="str">
        <f t="shared" si="26"/>
        <v/>
      </c>
      <c r="CA33" s="144" t="str">
        <f t="shared" si="26"/>
        <v/>
      </c>
      <c r="CB33" s="150" t="str">
        <f t="shared" si="26"/>
        <v/>
      </c>
      <c r="CC33" s="150" t="str">
        <f t="shared" si="26"/>
        <v/>
      </c>
      <c r="CD33" s="150" t="str">
        <f t="shared" si="26"/>
        <v/>
      </c>
      <c r="CE33" s="150" t="str">
        <f t="shared" si="26"/>
        <v/>
      </c>
      <c r="CF33" s="150" t="str">
        <f t="shared" si="26"/>
        <v/>
      </c>
      <c r="CG33" s="144" t="str">
        <f t="shared" si="26"/>
        <v/>
      </c>
      <c r="CH33" s="144" t="str">
        <f t="shared" si="26"/>
        <v/>
      </c>
      <c r="CI33" s="144" t="str">
        <f t="shared" si="26"/>
        <v/>
      </c>
      <c r="CJ33" s="144" t="str">
        <f t="shared" si="26"/>
        <v/>
      </c>
      <c r="CK33" s="144" t="str">
        <f t="shared" si="26"/>
        <v/>
      </c>
      <c r="CL33" s="151" t="str">
        <f t="shared" si="26"/>
        <v/>
      </c>
      <c r="CM33" s="151" t="str">
        <f t="shared" si="26"/>
        <v/>
      </c>
      <c r="CN33" s="151" t="str">
        <f t="shared" si="26"/>
        <v/>
      </c>
      <c r="CO33" s="151" t="str">
        <f t="shared" si="26"/>
        <v/>
      </c>
      <c r="CP33" s="151" t="str">
        <f t="shared" si="26"/>
        <v/>
      </c>
      <c r="CQ33" s="151" t="str">
        <f t="shared" si="26"/>
        <v/>
      </c>
      <c r="CR33" s="152" t="str">
        <f t="shared" si="26"/>
        <v/>
      </c>
      <c r="CS33" s="152" t="str">
        <f t="shared" si="26"/>
        <v/>
      </c>
      <c r="CT33" s="152" t="str">
        <f t="shared" si="26"/>
        <v/>
      </c>
      <c r="CU33" s="152" t="str">
        <f t="shared" si="26"/>
        <v/>
      </c>
    </row>
    <row r="34" ht="31.5" customHeight="1">
      <c r="B34" s="153" t="s">
        <v>86</v>
      </c>
      <c r="C34" s="154" t="s">
        <v>165</v>
      </c>
      <c r="D34" s="139" t="s">
        <v>108</v>
      </c>
      <c r="E34" s="140">
        <v>46293.0</v>
      </c>
      <c r="F34" s="140">
        <v>46304.0</v>
      </c>
      <c r="G34" s="141">
        <f t="shared" si="3"/>
        <v>10</v>
      </c>
      <c r="H34" s="142" t="s">
        <v>166</v>
      </c>
      <c r="I34" s="156">
        <v>0.7</v>
      </c>
      <c r="J34" s="144" t="str">
        <f t="shared" ref="J34:CU34" si="27">IF(AND(J$6&gt;=$E34,J$6&lt;=$F34),IF(NETWORKDAYS($E34,J$6)&lt;=ROUNDUP(NETWORKDAYS($E34,$F34)*$I34,0),2,1),"")</f>
        <v/>
      </c>
      <c r="K34" s="144" t="str">
        <f t="shared" si="27"/>
        <v/>
      </c>
      <c r="L34" s="144" t="str">
        <f t="shared" si="27"/>
        <v/>
      </c>
      <c r="M34" s="144" t="str">
        <f t="shared" si="27"/>
        <v/>
      </c>
      <c r="N34" s="144" t="str">
        <f t="shared" si="27"/>
        <v/>
      </c>
      <c r="O34" s="146" t="str">
        <f t="shared" si="27"/>
        <v/>
      </c>
      <c r="P34" s="146" t="str">
        <f t="shared" si="27"/>
        <v/>
      </c>
      <c r="Q34" s="146" t="str">
        <f t="shared" si="27"/>
        <v/>
      </c>
      <c r="R34" s="146" t="str">
        <f t="shared" si="27"/>
        <v/>
      </c>
      <c r="S34" s="146" t="str">
        <f t="shared" si="27"/>
        <v/>
      </c>
      <c r="T34" s="144" t="str">
        <f t="shared" si="27"/>
        <v/>
      </c>
      <c r="U34" s="144" t="str">
        <f t="shared" si="27"/>
        <v/>
      </c>
      <c r="V34" s="144" t="str">
        <f t="shared" si="27"/>
        <v/>
      </c>
      <c r="W34" s="144" t="str">
        <f t="shared" si="27"/>
        <v/>
      </c>
      <c r="X34" s="144" t="str">
        <f t="shared" si="27"/>
        <v/>
      </c>
      <c r="Y34" s="147" t="str">
        <f t="shared" si="27"/>
        <v/>
      </c>
      <c r="Z34" s="147" t="str">
        <f t="shared" si="27"/>
        <v/>
      </c>
      <c r="AA34" s="147" t="str">
        <f t="shared" si="27"/>
        <v/>
      </c>
      <c r="AB34" s="147" t="str">
        <f t="shared" si="27"/>
        <v/>
      </c>
      <c r="AC34" s="147" t="str">
        <f t="shared" si="27"/>
        <v/>
      </c>
      <c r="AD34" s="144" t="str">
        <f t="shared" si="27"/>
        <v/>
      </c>
      <c r="AE34" s="144" t="str">
        <f t="shared" si="27"/>
        <v/>
      </c>
      <c r="AF34" s="144" t="str">
        <f t="shared" si="27"/>
        <v/>
      </c>
      <c r="AG34" s="144" t="str">
        <f t="shared" si="27"/>
        <v/>
      </c>
      <c r="AH34" s="144" t="str">
        <f t="shared" si="27"/>
        <v/>
      </c>
      <c r="AI34" s="148" t="str">
        <f t="shared" si="27"/>
        <v/>
      </c>
      <c r="AJ34" s="148" t="str">
        <f t="shared" si="27"/>
        <v/>
      </c>
      <c r="AK34" s="148" t="str">
        <f t="shared" si="27"/>
        <v/>
      </c>
      <c r="AL34" s="148" t="str">
        <f t="shared" si="27"/>
        <v/>
      </c>
      <c r="AM34" s="148" t="str">
        <f t="shared" si="27"/>
        <v/>
      </c>
      <c r="AN34" s="144" t="str">
        <f t="shared" si="27"/>
        <v/>
      </c>
      <c r="AO34" s="144" t="str">
        <f t="shared" si="27"/>
        <v/>
      </c>
      <c r="AP34" s="144" t="str">
        <f t="shared" si="27"/>
        <v/>
      </c>
      <c r="AQ34" s="144" t="str">
        <f t="shared" si="27"/>
        <v/>
      </c>
      <c r="AR34" s="144" t="str">
        <f t="shared" si="27"/>
        <v/>
      </c>
      <c r="AS34" s="148">
        <f t="shared" si="27"/>
        <v>2</v>
      </c>
      <c r="AT34" s="148">
        <f t="shared" si="27"/>
        <v>2</v>
      </c>
      <c r="AU34" s="148">
        <f t="shared" si="27"/>
        <v>2</v>
      </c>
      <c r="AV34" s="148">
        <f t="shared" si="27"/>
        <v>2</v>
      </c>
      <c r="AW34" s="148">
        <f t="shared" si="27"/>
        <v>2</v>
      </c>
      <c r="AX34" s="144">
        <f t="shared" si="27"/>
        <v>2</v>
      </c>
      <c r="AY34" s="144">
        <f t="shared" si="27"/>
        <v>2</v>
      </c>
      <c r="AZ34" s="144">
        <f t="shared" si="27"/>
        <v>1</v>
      </c>
      <c r="BA34" s="144">
        <f t="shared" si="27"/>
        <v>1</v>
      </c>
      <c r="BB34" s="144">
        <f t="shared" si="27"/>
        <v>1</v>
      </c>
      <c r="BC34" s="149" t="str">
        <f t="shared" si="27"/>
        <v/>
      </c>
      <c r="BD34" s="149" t="str">
        <f t="shared" si="27"/>
        <v/>
      </c>
      <c r="BE34" s="149" t="str">
        <f t="shared" si="27"/>
        <v/>
      </c>
      <c r="BF34" s="149" t="str">
        <f t="shared" si="27"/>
        <v/>
      </c>
      <c r="BG34" s="149" t="str">
        <f t="shared" si="27"/>
        <v/>
      </c>
      <c r="BH34" s="144" t="str">
        <f t="shared" si="27"/>
        <v/>
      </c>
      <c r="BI34" s="144" t="str">
        <f t="shared" si="27"/>
        <v/>
      </c>
      <c r="BJ34" s="144" t="str">
        <f t="shared" si="27"/>
        <v/>
      </c>
      <c r="BK34" s="144" t="str">
        <f t="shared" si="27"/>
        <v/>
      </c>
      <c r="BL34" s="144" t="str">
        <f t="shared" si="27"/>
        <v/>
      </c>
      <c r="BM34" s="149" t="str">
        <f t="shared" si="27"/>
        <v/>
      </c>
      <c r="BN34" s="149" t="str">
        <f t="shared" si="27"/>
        <v/>
      </c>
      <c r="BO34" s="149" t="str">
        <f t="shared" si="27"/>
        <v/>
      </c>
      <c r="BP34" s="149" t="str">
        <f t="shared" si="27"/>
        <v/>
      </c>
      <c r="BQ34" s="149" t="str">
        <f t="shared" si="27"/>
        <v/>
      </c>
      <c r="BR34" s="150" t="str">
        <f t="shared" si="27"/>
        <v/>
      </c>
      <c r="BS34" s="150" t="str">
        <f t="shared" si="27"/>
        <v/>
      </c>
      <c r="BT34" s="150" t="str">
        <f t="shared" si="27"/>
        <v/>
      </c>
      <c r="BU34" s="150" t="str">
        <f t="shared" si="27"/>
        <v/>
      </c>
      <c r="BV34" s="150" t="str">
        <f t="shared" si="27"/>
        <v/>
      </c>
      <c r="BW34" s="144" t="str">
        <f t="shared" si="27"/>
        <v/>
      </c>
      <c r="BX34" s="144" t="str">
        <f t="shared" si="27"/>
        <v/>
      </c>
      <c r="BY34" s="144" t="str">
        <f t="shared" si="27"/>
        <v/>
      </c>
      <c r="BZ34" s="144" t="str">
        <f t="shared" si="27"/>
        <v/>
      </c>
      <c r="CA34" s="144" t="str">
        <f t="shared" si="27"/>
        <v/>
      </c>
      <c r="CB34" s="150" t="str">
        <f t="shared" si="27"/>
        <v/>
      </c>
      <c r="CC34" s="150" t="str">
        <f t="shared" si="27"/>
        <v/>
      </c>
      <c r="CD34" s="150" t="str">
        <f t="shared" si="27"/>
        <v/>
      </c>
      <c r="CE34" s="150" t="str">
        <f t="shared" si="27"/>
        <v/>
      </c>
      <c r="CF34" s="150" t="str">
        <f t="shared" si="27"/>
        <v/>
      </c>
      <c r="CG34" s="144" t="str">
        <f t="shared" si="27"/>
        <v/>
      </c>
      <c r="CH34" s="144" t="str">
        <f t="shared" si="27"/>
        <v/>
      </c>
      <c r="CI34" s="144" t="str">
        <f t="shared" si="27"/>
        <v/>
      </c>
      <c r="CJ34" s="144" t="str">
        <f t="shared" si="27"/>
        <v/>
      </c>
      <c r="CK34" s="144" t="str">
        <f t="shared" si="27"/>
        <v/>
      </c>
      <c r="CL34" s="151" t="str">
        <f t="shared" si="27"/>
        <v/>
      </c>
      <c r="CM34" s="151" t="str">
        <f t="shared" si="27"/>
        <v/>
      </c>
      <c r="CN34" s="151" t="str">
        <f t="shared" si="27"/>
        <v/>
      </c>
      <c r="CO34" s="151" t="str">
        <f t="shared" si="27"/>
        <v/>
      </c>
      <c r="CP34" s="151" t="str">
        <f t="shared" si="27"/>
        <v/>
      </c>
      <c r="CQ34" s="151" t="str">
        <f t="shared" si="27"/>
        <v/>
      </c>
      <c r="CR34" s="152" t="str">
        <f t="shared" si="27"/>
        <v/>
      </c>
      <c r="CS34" s="152" t="str">
        <f t="shared" si="27"/>
        <v/>
      </c>
      <c r="CT34" s="152" t="str">
        <f t="shared" si="27"/>
        <v/>
      </c>
      <c r="CU34" s="152" t="str">
        <f t="shared" si="27"/>
        <v/>
      </c>
    </row>
    <row r="35" ht="31.5" customHeight="1">
      <c r="B35" s="153" t="s">
        <v>167</v>
      </c>
      <c r="C35" s="154" t="s">
        <v>168</v>
      </c>
      <c r="D35" s="159" t="s">
        <v>108</v>
      </c>
      <c r="E35" s="140">
        <v>46307.0</v>
      </c>
      <c r="F35" s="140">
        <v>46311.0</v>
      </c>
      <c r="G35" s="141">
        <f t="shared" si="3"/>
        <v>5</v>
      </c>
      <c r="H35" s="142" t="s">
        <v>169</v>
      </c>
      <c r="I35" s="156">
        <v>1.0</v>
      </c>
      <c r="J35" s="144" t="str">
        <f t="shared" ref="J35:CU35" si="28">IF(AND(J$6&gt;=$E35,J$6&lt;=$F35),IF(NETWORKDAYS($E35,J$6)&lt;=ROUNDUP(NETWORKDAYS($E35,$F35)*$I35,0),2,1),"")</f>
        <v/>
      </c>
      <c r="K35" s="144" t="str">
        <f t="shared" si="28"/>
        <v/>
      </c>
      <c r="L35" s="144" t="str">
        <f t="shared" si="28"/>
        <v/>
      </c>
      <c r="M35" s="144" t="str">
        <f t="shared" si="28"/>
        <v/>
      </c>
      <c r="N35" s="144" t="str">
        <f t="shared" si="28"/>
        <v/>
      </c>
      <c r="O35" s="146" t="str">
        <f t="shared" si="28"/>
        <v/>
      </c>
      <c r="P35" s="146" t="str">
        <f t="shared" si="28"/>
        <v/>
      </c>
      <c r="Q35" s="146" t="str">
        <f t="shared" si="28"/>
        <v/>
      </c>
      <c r="R35" s="146" t="str">
        <f t="shared" si="28"/>
        <v/>
      </c>
      <c r="S35" s="146" t="str">
        <f t="shared" si="28"/>
        <v/>
      </c>
      <c r="T35" s="144" t="str">
        <f t="shared" si="28"/>
        <v/>
      </c>
      <c r="U35" s="144" t="str">
        <f t="shared" si="28"/>
        <v/>
      </c>
      <c r="V35" s="144" t="str">
        <f t="shared" si="28"/>
        <v/>
      </c>
      <c r="W35" s="144" t="str">
        <f t="shared" si="28"/>
        <v/>
      </c>
      <c r="X35" s="144" t="str">
        <f t="shared" si="28"/>
        <v/>
      </c>
      <c r="Y35" s="147" t="str">
        <f t="shared" si="28"/>
        <v/>
      </c>
      <c r="Z35" s="147" t="str">
        <f t="shared" si="28"/>
        <v/>
      </c>
      <c r="AA35" s="147" t="str">
        <f t="shared" si="28"/>
        <v/>
      </c>
      <c r="AB35" s="147" t="str">
        <f t="shared" si="28"/>
        <v/>
      </c>
      <c r="AC35" s="147" t="str">
        <f t="shared" si="28"/>
        <v/>
      </c>
      <c r="AD35" s="144" t="str">
        <f t="shared" si="28"/>
        <v/>
      </c>
      <c r="AE35" s="144" t="str">
        <f t="shared" si="28"/>
        <v/>
      </c>
      <c r="AF35" s="144" t="str">
        <f t="shared" si="28"/>
        <v/>
      </c>
      <c r="AG35" s="144" t="str">
        <f t="shared" si="28"/>
        <v/>
      </c>
      <c r="AH35" s="144" t="str">
        <f t="shared" si="28"/>
        <v/>
      </c>
      <c r="AI35" s="148" t="str">
        <f t="shared" si="28"/>
        <v/>
      </c>
      <c r="AJ35" s="148" t="str">
        <f t="shared" si="28"/>
        <v/>
      </c>
      <c r="AK35" s="148" t="str">
        <f t="shared" si="28"/>
        <v/>
      </c>
      <c r="AL35" s="148" t="str">
        <f t="shared" si="28"/>
        <v/>
      </c>
      <c r="AM35" s="148" t="str">
        <f t="shared" si="28"/>
        <v/>
      </c>
      <c r="AN35" s="144" t="str">
        <f t="shared" si="28"/>
        <v/>
      </c>
      <c r="AO35" s="144" t="str">
        <f t="shared" si="28"/>
        <v/>
      </c>
      <c r="AP35" s="144" t="str">
        <f t="shared" si="28"/>
        <v/>
      </c>
      <c r="AQ35" s="144" t="str">
        <f t="shared" si="28"/>
        <v/>
      </c>
      <c r="AR35" s="144" t="str">
        <f t="shared" si="28"/>
        <v/>
      </c>
      <c r="AS35" s="148" t="str">
        <f t="shared" si="28"/>
        <v/>
      </c>
      <c r="AT35" s="148" t="str">
        <f t="shared" si="28"/>
        <v/>
      </c>
      <c r="AU35" s="148" t="str">
        <f t="shared" si="28"/>
        <v/>
      </c>
      <c r="AV35" s="148" t="str">
        <f t="shared" si="28"/>
        <v/>
      </c>
      <c r="AW35" s="148" t="str">
        <f t="shared" si="28"/>
        <v/>
      </c>
      <c r="AX35" s="144" t="str">
        <f t="shared" si="28"/>
        <v/>
      </c>
      <c r="AY35" s="144" t="str">
        <f t="shared" si="28"/>
        <v/>
      </c>
      <c r="AZ35" s="144" t="str">
        <f t="shared" si="28"/>
        <v/>
      </c>
      <c r="BA35" s="144" t="str">
        <f t="shared" si="28"/>
        <v/>
      </c>
      <c r="BB35" s="144" t="str">
        <f t="shared" si="28"/>
        <v/>
      </c>
      <c r="BC35" s="149">
        <f t="shared" si="28"/>
        <v>2</v>
      </c>
      <c r="BD35" s="149">
        <f t="shared" si="28"/>
        <v>2</v>
      </c>
      <c r="BE35" s="149">
        <f t="shared" si="28"/>
        <v>2</v>
      </c>
      <c r="BF35" s="149">
        <f t="shared" si="28"/>
        <v>2</v>
      </c>
      <c r="BG35" s="149">
        <f t="shared" si="28"/>
        <v>2</v>
      </c>
      <c r="BH35" s="144" t="str">
        <f t="shared" si="28"/>
        <v/>
      </c>
      <c r="BI35" s="144" t="str">
        <f t="shared" si="28"/>
        <v/>
      </c>
      <c r="BJ35" s="144" t="str">
        <f t="shared" si="28"/>
        <v/>
      </c>
      <c r="BK35" s="144" t="str">
        <f t="shared" si="28"/>
        <v/>
      </c>
      <c r="BL35" s="144" t="str">
        <f t="shared" si="28"/>
        <v/>
      </c>
      <c r="BM35" s="149" t="str">
        <f t="shared" si="28"/>
        <v/>
      </c>
      <c r="BN35" s="149" t="str">
        <f t="shared" si="28"/>
        <v/>
      </c>
      <c r="BO35" s="149" t="str">
        <f t="shared" si="28"/>
        <v/>
      </c>
      <c r="BP35" s="149" t="str">
        <f t="shared" si="28"/>
        <v/>
      </c>
      <c r="BQ35" s="149" t="str">
        <f t="shared" si="28"/>
        <v/>
      </c>
      <c r="BR35" s="150" t="str">
        <f t="shared" si="28"/>
        <v/>
      </c>
      <c r="BS35" s="150" t="str">
        <f t="shared" si="28"/>
        <v/>
      </c>
      <c r="BT35" s="150" t="str">
        <f t="shared" si="28"/>
        <v/>
      </c>
      <c r="BU35" s="150" t="str">
        <f t="shared" si="28"/>
        <v/>
      </c>
      <c r="BV35" s="150" t="str">
        <f t="shared" si="28"/>
        <v/>
      </c>
      <c r="BW35" s="144" t="str">
        <f t="shared" si="28"/>
        <v/>
      </c>
      <c r="BX35" s="144" t="str">
        <f t="shared" si="28"/>
        <v/>
      </c>
      <c r="BY35" s="144" t="str">
        <f t="shared" si="28"/>
        <v/>
      </c>
      <c r="BZ35" s="144" t="str">
        <f t="shared" si="28"/>
        <v/>
      </c>
      <c r="CA35" s="144" t="str">
        <f t="shared" si="28"/>
        <v/>
      </c>
      <c r="CB35" s="150" t="str">
        <f t="shared" si="28"/>
        <v/>
      </c>
      <c r="CC35" s="150" t="str">
        <f t="shared" si="28"/>
        <v/>
      </c>
      <c r="CD35" s="150" t="str">
        <f t="shared" si="28"/>
        <v/>
      </c>
      <c r="CE35" s="150" t="str">
        <f t="shared" si="28"/>
        <v/>
      </c>
      <c r="CF35" s="150" t="str">
        <f t="shared" si="28"/>
        <v/>
      </c>
      <c r="CG35" s="144" t="str">
        <f t="shared" si="28"/>
        <v/>
      </c>
      <c r="CH35" s="144" t="str">
        <f t="shared" si="28"/>
        <v/>
      </c>
      <c r="CI35" s="144" t="str">
        <f t="shared" si="28"/>
        <v/>
      </c>
      <c r="CJ35" s="144" t="str">
        <f t="shared" si="28"/>
        <v/>
      </c>
      <c r="CK35" s="144" t="str">
        <f t="shared" si="28"/>
        <v/>
      </c>
      <c r="CL35" s="151" t="str">
        <f t="shared" si="28"/>
        <v/>
      </c>
      <c r="CM35" s="151" t="str">
        <f t="shared" si="28"/>
        <v/>
      </c>
      <c r="CN35" s="151" t="str">
        <f t="shared" si="28"/>
        <v/>
      </c>
      <c r="CO35" s="151" t="str">
        <f t="shared" si="28"/>
        <v/>
      </c>
      <c r="CP35" s="151" t="str">
        <f t="shared" si="28"/>
        <v/>
      </c>
      <c r="CQ35" s="151" t="str">
        <f t="shared" si="28"/>
        <v/>
      </c>
      <c r="CR35" s="152" t="str">
        <f t="shared" si="28"/>
        <v/>
      </c>
      <c r="CS35" s="152" t="str">
        <f t="shared" si="28"/>
        <v/>
      </c>
      <c r="CT35" s="152" t="str">
        <f t="shared" si="28"/>
        <v/>
      </c>
      <c r="CU35" s="152" t="str">
        <f t="shared" si="28"/>
        <v/>
      </c>
    </row>
    <row r="36" ht="31.5" customHeight="1">
      <c r="B36" s="153" t="s">
        <v>170</v>
      </c>
      <c r="C36" s="154" t="s">
        <v>171</v>
      </c>
      <c r="D36" s="139" t="s">
        <v>108</v>
      </c>
      <c r="E36" s="140">
        <v>46307.0</v>
      </c>
      <c r="F36" s="140">
        <v>46318.0</v>
      </c>
      <c r="G36" s="141">
        <f t="shared" si="3"/>
        <v>10</v>
      </c>
      <c r="H36" s="142" t="s">
        <v>172</v>
      </c>
      <c r="I36" s="156">
        <v>1.0</v>
      </c>
      <c r="J36" s="144" t="str">
        <f t="shared" ref="J36:CU36" si="29">IF(AND(J$6&gt;=$E36,J$6&lt;=$F36),IF(NETWORKDAYS($E36,J$6)&lt;=ROUNDUP(NETWORKDAYS($E36,$F36)*$I36,0),2,1),"")</f>
        <v/>
      </c>
      <c r="K36" s="144" t="str">
        <f t="shared" si="29"/>
        <v/>
      </c>
      <c r="L36" s="144" t="str">
        <f t="shared" si="29"/>
        <v/>
      </c>
      <c r="M36" s="144" t="str">
        <f t="shared" si="29"/>
        <v/>
      </c>
      <c r="N36" s="144" t="str">
        <f t="shared" si="29"/>
        <v/>
      </c>
      <c r="O36" s="146" t="str">
        <f t="shared" si="29"/>
        <v/>
      </c>
      <c r="P36" s="146" t="str">
        <f t="shared" si="29"/>
        <v/>
      </c>
      <c r="Q36" s="146" t="str">
        <f t="shared" si="29"/>
        <v/>
      </c>
      <c r="R36" s="146" t="str">
        <f t="shared" si="29"/>
        <v/>
      </c>
      <c r="S36" s="146" t="str">
        <f t="shared" si="29"/>
        <v/>
      </c>
      <c r="T36" s="144" t="str">
        <f t="shared" si="29"/>
        <v/>
      </c>
      <c r="U36" s="144" t="str">
        <f t="shared" si="29"/>
        <v/>
      </c>
      <c r="V36" s="144" t="str">
        <f t="shared" si="29"/>
        <v/>
      </c>
      <c r="W36" s="144" t="str">
        <f t="shared" si="29"/>
        <v/>
      </c>
      <c r="X36" s="144" t="str">
        <f t="shared" si="29"/>
        <v/>
      </c>
      <c r="Y36" s="147" t="str">
        <f t="shared" si="29"/>
        <v/>
      </c>
      <c r="Z36" s="147" t="str">
        <f t="shared" si="29"/>
        <v/>
      </c>
      <c r="AA36" s="147" t="str">
        <f t="shared" si="29"/>
        <v/>
      </c>
      <c r="AB36" s="147" t="str">
        <f t="shared" si="29"/>
        <v/>
      </c>
      <c r="AC36" s="147" t="str">
        <f t="shared" si="29"/>
        <v/>
      </c>
      <c r="AD36" s="144" t="str">
        <f t="shared" si="29"/>
        <v/>
      </c>
      <c r="AE36" s="144" t="str">
        <f t="shared" si="29"/>
        <v/>
      </c>
      <c r="AF36" s="144" t="str">
        <f t="shared" si="29"/>
        <v/>
      </c>
      <c r="AG36" s="144" t="str">
        <f t="shared" si="29"/>
        <v/>
      </c>
      <c r="AH36" s="144" t="str">
        <f t="shared" si="29"/>
        <v/>
      </c>
      <c r="AI36" s="148" t="str">
        <f t="shared" si="29"/>
        <v/>
      </c>
      <c r="AJ36" s="148" t="str">
        <f t="shared" si="29"/>
        <v/>
      </c>
      <c r="AK36" s="148" t="str">
        <f t="shared" si="29"/>
        <v/>
      </c>
      <c r="AL36" s="148" t="str">
        <f t="shared" si="29"/>
        <v/>
      </c>
      <c r="AM36" s="148" t="str">
        <f t="shared" si="29"/>
        <v/>
      </c>
      <c r="AN36" s="144" t="str">
        <f t="shared" si="29"/>
        <v/>
      </c>
      <c r="AO36" s="144" t="str">
        <f t="shared" si="29"/>
        <v/>
      </c>
      <c r="AP36" s="144" t="str">
        <f t="shared" si="29"/>
        <v/>
      </c>
      <c r="AQ36" s="144" t="str">
        <f t="shared" si="29"/>
        <v/>
      </c>
      <c r="AR36" s="144" t="str">
        <f t="shared" si="29"/>
        <v/>
      </c>
      <c r="AS36" s="148" t="str">
        <f t="shared" si="29"/>
        <v/>
      </c>
      <c r="AT36" s="148" t="str">
        <f t="shared" si="29"/>
        <v/>
      </c>
      <c r="AU36" s="148" t="str">
        <f t="shared" si="29"/>
        <v/>
      </c>
      <c r="AV36" s="148" t="str">
        <f t="shared" si="29"/>
        <v/>
      </c>
      <c r="AW36" s="148" t="str">
        <f t="shared" si="29"/>
        <v/>
      </c>
      <c r="AX36" s="144" t="str">
        <f t="shared" si="29"/>
        <v/>
      </c>
      <c r="AY36" s="144" t="str">
        <f t="shared" si="29"/>
        <v/>
      </c>
      <c r="AZ36" s="144" t="str">
        <f t="shared" si="29"/>
        <v/>
      </c>
      <c r="BA36" s="144" t="str">
        <f t="shared" si="29"/>
        <v/>
      </c>
      <c r="BB36" s="144" t="str">
        <f t="shared" si="29"/>
        <v/>
      </c>
      <c r="BC36" s="149">
        <f t="shared" si="29"/>
        <v>2</v>
      </c>
      <c r="BD36" s="149">
        <f t="shared" si="29"/>
        <v>2</v>
      </c>
      <c r="BE36" s="149">
        <f t="shared" si="29"/>
        <v>2</v>
      </c>
      <c r="BF36" s="149">
        <f t="shared" si="29"/>
        <v>2</v>
      </c>
      <c r="BG36" s="149">
        <f t="shared" si="29"/>
        <v>2</v>
      </c>
      <c r="BH36" s="144">
        <f t="shared" si="29"/>
        <v>2</v>
      </c>
      <c r="BI36" s="144">
        <f t="shared" si="29"/>
        <v>2</v>
      </c>
      <c r="BJ36" s="144">
        <f t="shared" si="29"/>
        <v>2</v>
      </c>
      <c r="BK36" s="144">
        <f t="shared" si="29"/>
        <v>2</v>
      </c>
      <c r="BL36" s="144">
        <f t="shared" si="29"/>
        <v>2</v>
      </c>
      <c r="BM36" s="149" t="str">
        <f t="shared" si="29"/>
        <v/>
      </c>
      <c r="BN36" s="149" t="str">
        <f t="shared" si="29"/>
        <v/>
      </c>
      <c r="BO36" s="149" t="str">
        <f t="shared" si="29"/>
        <v/>
      </c>
      <c r="BP36" s="149" t="str">
        <f t="shared" si="29"/>
        <v/>
      </c>
      <c r="BQ36" s="149" t="str">
        <f t="shared" si="29"/>
        <v/>
      </c>
      <c r="BR36" s="150" t="str">
        <f t="shared" si="29"/>
        <v/>
      </c>
      <c r="BS36" s="150" t="str">
        <f t="shared" si="29"/>
        <v/>
      </c>
      <c r="BT36" s="150" t="str">
        <f t="shared" si="29"/>
        <v/>
      </c>
      <c r="BU36" s="150" t="str">
        <f t="shared" si="29"/>
        <v/>
      </c>
      <c r="BV36" s="150" t="str">
        <f t="shared" si="29"/>
        <v/>
      </c>
      <c r="BW36" s="144" t="str">
        <f t="shared" si="29"/>
        <v/>
      </c>
      <c r="BX36" s="144" t="str">
        <f t="shared" si="29"/>
        <v/>
      </c>
      <c r="BY36" s="144" t="str">
        <f t="shared" si="29"/>
        <v/>
      </c>
      <c r="BZ36" s="144" t="str">
        <f t="shared" si="29"/>
        <v/>
      </c>
      <c r="CA36" s="144" t="str">
        <f t="shared" si="29"/>
        <v/>
      </c>
      <c r="CB36" s="150" t="str">
        <f t="shared" si="29"/>
        <v/>
      </c>
      <c r="CC36" s="150" t="str">
        <f t="shared" si="29"/>
        <v/>
      </c>
      <c r="CD36" s="150" t="str">
        <f t="shared" si="29"/>
        <v/>
      </c>
      <c r="CE36" s="150" t="str">
        <f t="shared" si="29"/>
        <v/>
      </c>
      <c r="CF36" s="150" t="str">
        <f t="shared" si="29"/>
        <v/>
      </c>
      <c r="CG36" s="144" t="str">
        <f t="shared" si="29"/>
        <v/>
      </c>
      <c r="CH36" s="144" t="str">
        <f t="shared" si="29"/>
        <v/>
      </c>
      <c r="CI36" s="144" t="str">
        <f t="shared" si="29"/>
        <v/>
      </c>
      <c r="CJ36" s="144" t="str">
        <f t="shared" si="29"/>
        <v/>
      </c>
      <c r="CK36" s="144" t="str">
        <f t="shared" si="29"/>
        <v/>
      </c>
      <c r="CL36" s="151" t="str">
        <f t="shared" si="29"/>
        <v/>
      </c>
      <c r="CM36" s="151" t="str">
        <f t="shared" si="29"/>
        <v/>
      </c>
      <c r="CN36" s="151" t="str">
        <f t="shared" si="29"/>
        <v/>
      </c>
      <c r="CO36" s="151" t="str">
        <f t="shared" si="29"/>
        <v/>
      </c>
      <c r="CP36" s="151" t="str">
        <f t="shared" si="29"/>
        <v/>
      </c>
      <c r="CQ36" s="151" t="str">
        <f t="shared" si="29"/>
        <v/>
      </c>
      <c r="CR36" s="152" t="str">
        <f t="shared" si="29"/>
        <v/>
      </c>
      <c r="CS36" s="152" t="str">
        <f t="shared" si="29"/>
        <v/>
      </c>
      <c r="CT36" s="152" t="str">
        <f t="shared" si="29"/>
        <v/>
      </c>
      <c r="CU36" s="152" t="str">
        <f t="shared" si="29"/>
        <v/>
      </c>
    </row>
    <row r="37" ht="31.5" customHeight="1">
      <c r="B37" s="160" t="s">
        <v>173</v>
      </c>
      <c r="C37" s="161" t="s">
        <v>174</v>
      </c>
      <c r="D37" s="139" t="s">
        <v>114</v>
      </c>
      <c r="E37" s="140">
        <v>46314.0</v>
      </c>
      <c r="F37" s="140">
        <v>46318.0</v>
      </c>
      <c r="G37" s="141">
        <f t="shared" si="3"/>
        <v>5</v>
      </c>
      <c r="H37" s="142" t="s">
        <v>175</v>
      </c>
      <c r="I37" s="143">
        <v>0.0</v>
      </c>
      <c r="J37" s="144" t="str">
        <f t="shared" ref="J37:CU37" si="30">IF(AND(J$6&gt;=$E37,J$6&lt;=$F37),IF(NETWORKDAYS($E37,J$6)&lt;=ROUNDUP(NETWORKDAYS($E37,$F37)*$I37,0),2,1),"")</f>
        <v/>
      </c>
      <c r="K37" s="144" t="str">
        <f t="shared" si="30"/>
        <v/>
      </c>
      <c r="L37" s="144" t="str">
        <f t="shared" si="30"/>
        <v/>
      </c>
      <c r="M37" s="144" t="str">
        <f t="shared" si="30"/>
        <v/>
      </c>
      <c r="N37" s="144" t="str">
        <f t="shared" si="30"/>
        <v/>
      </c>
      <c r="O37" s="146" t="str">
        <f t="shared" si="30"/>
        <v/>
      </c>
      <c r="P37" s="146" t="str">
        <f t="shared" si="30"/>
        <v/>
      </c>
      <c r="Q37" s="146" t="str">
        <f t="shared" si="30"/>
        <v/>
      </c>
      <c r="R37" s="146" t="str">
        <f t="shared" si="30"/>
        <v/>
      </c>
      <c r="S37" s="146" t="str">
        <f t="shared" si="30"/>
        <v/>
      </c>
      <c r="T37" s="144" t="str">
        <f t="shared" si="30"/>
        <v/>
      </c>
      <c r="U37" s="144" t="str">
        <f t="shared" si="30"/>
        <v/>
      </c>
      <c r="V37" s="144" t="str">
        <f t="shared" si="30"/>
        <v/>
      </c>
      <c r="W37" s="144" t="str">
        <f t="shared" si="30"/>
        <v/>
      </c>
      <c r="X37" s="144" t="str">
        <f t="shared" si="30"/>
        <v/>
      </c>
      <c r="Y37" s="147" t="str">
        <f t="shared" si="30"/>
        <v/>
      </c>
      <c r="Z37" s="147" t="str">
        <f t="shared" si="30"/>
        <v/>
      </c>
      <c r="AA37" s="147" t="str">
        <f t="shared" si="30"/>
        <v/>
      </c>
      <c r="AB37" s="147" t="str">
        <f t="shared" si="30"/>
        <v/>
      </c>
      <c r="AC37" s="147" t="str">
        <f t="shared" si="30"/>
        <v/>
      </c>
      <c r="AD37" s="144" t="str">
        <f t="shared" si="30"/>
        <v/>
      </c>
      <c r="AE37" s="144" t="str">
        <f t="shared" si="30"/>
        <v/>
      </c>
      <c r="AF37" s="144" t="str">
        <f t="shared" si="30"/>
        <v/>
      </c>
      <c r="AG37" s="144" t="str">
        <f t="shared" si="30"/>
        <v/>
      </c>
      <c r="AH37" s="144" t="str">
        <f t="shared" si="30"/>
        <v/>
      </c>
      <c r="AI37" s="148" t="str">
        <f t="shared" si="30"/>
        <v/>
      </c>
      <c r="AJ37" s="148" t="str">
        <f t="shared" si="30"/>
        <v/>
      </c>
      <c r="AK37" s="148" t="str">
        <f t="shared" si="30"/>
        <v/>
      </c>
      <c r="AL37" s="148" t="str">
        <f t="shared" si="30"/>
        <v/>
      </c>
      <c r="AM37" s="148" t="str">
        <f t="shared" si="30"/>
        <v/>
      </c>
      <c r="AN37" s="144" t="str">
        <f t="shared" si="30"/>
        <v/>
      </c>
      <c r="AO37" s="144" t="str">
        <f t="shared" si="30"/>
        <v/>
      </c>
      <c r="AP37" s="144" t="str">
        <f t="shared" si="30"/>
        <v/>
      </c>
      <c r="AQ37" s="144" t="str">
        <f t="shared" si="30"/>
        <v/>
      </c>
      <c r="AR37" s="144" t="str">
        <f t="shared" si="30"/>
        <v/>
      </c>
      <c r="AS37" s="148" t="str">
        <f t="shared" si="30"/>
        <v/>
      </c>
      <c r="AT37" s="148" t="str">
        <f t="shared" si="30"/>
        <v/>
      </c>
      <c r="AU37" s="148" t="str">
        <f t="shared" si="30"/>
        <v/>
      </c>
      <c r="AV37" s="148" t="str">
        <f t="shared" si="30"/>
        <v/>
      </c>
      <c r="AW37" s="148" t="str">
        <f t="shared" si="30"/>
        <v/>
      </c>
      <c r="AX37" s="144" t="str">
        <f t="shared" si="30"/>
        <v/>
      </c>
      <c r="AY37" s="144" t="str">
        <f t="shared" si="30"/>
        <v/>
      </c>
      <c r="AZ37" s="144" t="str">
        <f t="shared" si="30"/>
        <v/>
      </c>
      <c r="BA37" s="144" t="str">
        <f t="shared" si="30"/>
        <v/>
      </c>
      <c r="BB37" s="144" t="str">
        <f t="shared" si="30"/>
        <v/>
      </c>
      <c r="BC37" s="149" t="str">
        <f t="shared" si="30"/>
        <v/>
      </c>
      <c r="BD37" s="149" t="str">
        <f t="shared" si="30"/>
        <v/>
      </c>
      <c r="BE37" s="149" t="str">
        <f t="shared" si="30"/>
        <v/>
      </c>
      <c r="BF37" s="149" t="str">
        <f t="shared" si="30"/>
        <v/>
      </c>
      <c r="BG37" s="149" t="str">
        <f t="shared" si="30"/>
        <v/>
      </c>
      <c r="BH37" s="144">
        <f t="shared" si="30"/>
        <v>1</v>
      </c>
      <c r="BI37" s="144">
        <f t="shared" si="30"/>
        <v>1</v>
      </c>
      <c r="BJ37" s="144">
        <f t="shared" si="30"/>
        <v>1</v>
      </c>
      <c r="BK37" s="144">
        <f t="shared" si="30"/>
        <v>1</v>
      </c>
      <c r="BL37" s="144">
        <f t="shared" si="30"/>
        <v>1</v>
      </c>
      <c r="BM37" s="149" t="str">
        <f t="shared" si="30"/>
        <v/>
      </c>
      <c r="BN37" s="149" t="str">
        <f t="shared" si="30"/>
        <v/>
      </c>
      <c r="BO37" s="149" t="str">
        <f t="shared" si="30"/>
        <v/>
      </c>
      <c r="BP37" s="149" t="str">
        <f t="shared" si="30"/>
        <v/>
      </c>
      <c r="BQ37" s="149" t="str">
        <f t="shared" si="30"/>
        <v/>
      </c>
      <c r="BR37" s="150" t="str">
        <f t="shared" si="30"/>
        <v/>
      </c>
      <c r="BS37" s="150" t="str">
        <f t="shared" si="30"/>
        <v/>
      </c>
      <c r="BT37" s="150" t="str">
        <f t="shared" si="30"/>
        <v/>
      </c>
      <c r="BU37" s="150" t="str">
        <f t="shared" si="30"/>
        <v/>
      </c>
      <c r="BV37" s="150" t="str">
        <f t="shared" si="30"/>
        <v/>
      </c>
      <c r="BW37" s="144" t="str">
        <f t="shared" si="30"/>
        <v/>
      </c>
      <c r="BX37" s="144" t="str">
        <f t="shared" si="30"/>
        <v/>
      </c>
      <c r="BY37" s="144" t="str">
        <f t="shared" si="30"/>
        <v/>
      </c>
      <c r="BZ37" s="144" t="str">
        <f t="shared" si="30"/>
        <v/>
      </c>
      <c r="CA37" s="144" t="str">
        <f t="shared" si="30"/>
        <v/>
      </c>
      <c r="CB37" s="150" t="str">
        <f t="shared" si="30"/>
        <v/>
      </c>
      <c r="CC37" s="150" t="str">
        <f t="shared" si="30"/>
        <v/>
      </c>
      <c r="CD37" s="150" t="str">
        <f t="shared" si="30"/>
        <v/>
      </c>
      <c r="CE37" s="150" t="str">
        <f t="shared" si="30"/>
        <v/>
      </c>
      <c r="CF37" s="150" t="str">
        <f t="shared" si="30"/>
        <v/>
      </c>
      <c r="CG37" s="144" t="str">
        <f t="shared" si="30"/>
        <v/>
      </c>
      <c r="CH37" s="144" t="str">
        <f t="shared" si="30"/>
        <v/>
      </c>
      <c r="CI37" s="144" t="str">
        <f t="shared" si="30"/>
        <v/>
      </c>
      <c r="CJ37" s="144" t="str">
        <f t="shared" si="30"/>
        <v/>
      </c>
      <c r="CK37" s="144" t="str">
        <f t="shared" si="30"/>
        <v/>
      </c>
      <c r="CL37" s="151" t="str">
        <f t="shared" si="30"/>
        <v/>
      </c>
      <c r="CM37" s="151" t="str">
        <f t="shared" si="30"/>
        <v/>
      </c>
      <c r="CN37" s="151" t="str">
        <f t="shared" si="30"/>
        <v/>
      </c>
      <c r="CO37" s="151" t="str">
        <f t="shared" si="30"/>
        <v/>
      </c>
      <c r="CP37" s="151" t="str">
        <f t="shared" si="30"/>
        <v/>
      </c>
      <c r="CQ37" s="151" t="str">
        <f t="shared" si="30"/>
        <v/>
      </c>
      <c r="CR37" s="152" t="str">
        <f t="shared" si="30"/>
        <v/>
      </c>
      <c r="CS37" s="152" t="str">
        <f t="shared" si="30"/>
        <v/>
      </c>
      <c r="CT37" s="152" t="str">
        <f t="shared" si="30"/>
        <v/>
      </c>
      <c r="CU37" s="152" t="str">
        <f t="shared" si="30"/>
        <v/>
      </c>
    </row>
    <row r="38" ht="21.75" customHeight="1">
      <c r="B38" s="115" t="s">
        <v>176</v>
      </c>
      <c r="C38" s="117" t="s">
        <v>177</v>
      </c>
      <c r="D38" s="118" t="s">
        <v>66</v>
      </c>
      <c r="E38" s="119">
        <v>46321.0</v>
      </c>
      <c r="F38" s="119">
        <v>46332.0</v>
      </c>
      <c r="G38" s="120">
        <f t="shared" si="3"/>
        <v>10</v>
      </c>
      <c r="H38" s="121" t="s">
        <v>69</v>
      </c>
      <c r="I38" s="122">
        <v>0.0</v>
      </c>
      <c r="J38" s="123" t="str">
        <f t="shared" ref="J38:CU38" si="31">IF(AND(J$6&gt;=$E38,J$6&lt;=$F38),IF(NETWORKDAYS($E38,J$6)&lt;=ROUNDUP(NETWORKDAYS($E38,$F38)*$I38,0),2,1),"")</f>
        <v/>
      </c>
      <c r="K38" s="123" t="str">
        <f t="shared" si="31"/>
        <v/>
      </c>
      <c r="L38" s="123" t="str">
        <f t="shared" si="31"/>
        <v/>
      </c>
      <c r="M38" s="123" t="str">
        <f t="shared" si="31"/>
        <v/>
      </c>
      <c r="N38" s="123" t="str">
        <f t="shared" si="31"/>
        <v/>
      </c>
      <c r="O38" s="123" t="str">
        <f t="shared" si="31"/>
        <v/>
      </c>
      <c r="P38" s="123" t="str">
        <f t="shared" si="31"/>
        <v/>
      </c>
      <c r="Q38" s="123" t="str">
        <f t="shared" si="31"/>
        <v/>
      </c>
      <c r="R38" s="123" t="str">
        <f t="shared" si="31"/>
        <v/>
      </c>
      <c r="S38" s="123" t="str">
        <f t="shared" si="31"/>
        <v/>
      </c>
      <c r="T38" s="123" t="str">
        <f t="shared" si="31"/>
        <v/>
      </c>
      <c r="U38" s="123" t="str">
        <f t="shared" si="31"/>
        <v/>
      </c>
      <c r="V38" s="123" t="str">
        <f t="shared" si="31"/>
        <v/>
      </c>
      <c r="W38" s="123" t="str">
        <f t="shared" si="31"/>
        <v/>
      </c>
      <c r="X38" s="123" t="str">
        <f t="shared" si="31"/>
        <v/>
      </c>
      <c r="Y38" s="123" t="str">
        <f t="shared" si="31"/>
        <v/>
      </c>
      <c r="Z38" s="123" t="str">
        <f t="shared" si="31"/>
        <v/>
      </c>
      <c r="AA38" s="123" t="str">
        <f t="shared" si="31"/>
        <v/>
      </c>
      <c r="AB38" s="123" t="str">
        <f t="shared" si="31"/>
        <v/>
      </c>
      <c r="AC38" s="123" t="str">
        <f t="shared" si="31"/>
        <v/>
      </c>
      <c r="AD38" s="123" t="str">
        <f t="shared" si="31"/>
        <v/>
      </c>
      <c r="AE38" s="123" t="str">
        <f t="shared" si="31"/>
        <v/>
      </c>
      <c r="AF38" s="123" t="str">
        <f t="shared" si="31"/>
        <v/>
      </c>
      <c r="AG38" s="123" t="str">
        <f t="shared" si="31"/>
        <v/>
      </c>
      <c r="AH38" s="123" t="str">
        <f t="shared" si="31"/>
        <v/>
      </c>
      <c r="AI38" s="123" t="str">
        <f t="shared" si="31"/>
        <v/>
      </c>
      <c r="AJ38" s="123" t="str">
        <f t="shared" si="31"/>
        <v/>
      </c>
      <c r="AK38" s="123" t="str">
        <f t="shared" si="31"/>
        <v/>
      </c>
      <c r="AL38" s="123" t="str">
        <f t="shared" si="31"/>
        <v/>
      </c>
      <c r="AM38" s="123" t="str">
        <f t="shared" si="31"/>
        <v/>
      </c>
      <c r="AN38" s="123" t="str">
        <f t="shared" si="31"/>
        <v/>
      </c>
      <c r="AO38" s="123" t="str">
        <f t="shared" si="31"/>
        <v/>
      </c>
      <c r="AP38" s="123" t="str">
        <f t="shared" si="31"/>
        <v/>
      </c>
      <c r="AQ38" s="123" t="str">
        <f t="shared" si="31"/>
        <v/>
      </c>
      <c r="AR38" s="123" t="str">
        <f t="shared" si="31"/>
        <v/>
      </c>
      <c r="AS38" s="123" t="str">
        <f t="shared" si="31"/>
        <v/>
      </c>
      <c r="AT38" s="123" t="str">
        <f t="shared" si="31"/>
        <v/>
      </c>
      <c r="AU38" s="123" t="str">
        <f t="shared" si="31"/>
        <v/>
      </c>
      <c r="AV38" s="123" t="str">
        <f t="shared" si="31"/>
        <v/>
      </c>
      <c r="AW38" s="123" t="str">
        <f t="shared" si="31"/>
        <v/>
      </c>
      <c r="AX38" s="123" t="str">
        <f t="shared" si="31"/>
        <v/>
      </c>
      <c r="AY38" s="123" t="str">
        <f t="shared" si="31"/>
        <v/>
      </c>
      <c r="AZ38" s="123" t="str">
        <f t="shared" si="31"/>
        <v/>
      </c>
      <c r="BA38" s="123" t="str">
        <f t="shared" si="31"/>
        <v/>
      </c>
      <c r="BB38" s="123" t="str">
        <f t="shared" si="31"/>
        <v/>
      </c>
      <c r="BC38" s="123" t="str">
        <f t="shared" si="31"/>
        <v/>
      </c>
      <c r="BD38" s="123" t="str">
        <f t="shared" si="31"/>
        <v/>
      </c>
      <c r="BE38" s="123" t="str">
        <f t="shared" si="31"/>
        <v/>
      </c>
      <c r="BF38" s="123" t="str">
        <f t="shared" si="31"/>
        <v/>
      </c>
      <c r="BG38" s="123" t="str">
        <f t="shared" si="31"/>
        <v/>
      </c>
      <c r="BH38" s="123" t="str">
        <f t="shared" si="31"/>
        <v/>
      </c>
      <c r="BI38" s="123" t="str">
        <f t="shared" si="31"/>
        <v/>
      </c>
      <c r="BJ38" s="123" t="str">
        <f t="shared" si="31"/>
        <v/>
      </c>
      <c r="BK38" s="123" t="str">
        <f t="shared" si="31"/>
        <v/>
      </c>
      <c r="BL38" s="123" t="str">
        <f t="shared" si="31"/>
        <v/>
      </c>
      <c r="BM38" s="123">
        <f t="shared" si="31"/>
        <v>1</v>
      </c>
      <c r="BN38" s="123">
        <f t="shared" si="31"/>
        <v>1</v>
      </c>
      <c r="BO38" s="123">
        <f t="shared" si="31"/>
        <v>1</v>
      </c>
      <c r="BP38" s="123">
        <f t="shared" si="31"/>
        <v>1</v>
      </c>
      <c r="BQ38" s="123">
        <f t="shared" si="31"/>
        <v>1</v>
      </c>
      <c r="BR38" s="123">
        <f t="shared" si="31"/>
        <v>1</v>
      </c>
      <c r="BS38" s="123">
        <f t="shared" si="31"/>
        <v>1</v>
      </c>
      <c r="BT38" s="123">
        <f t="shared" si="31"/>
        <v>1</v>
      </c>
      <c r="BU38" s="123">
        <f t="shared" si="31"/>
        <v>1</v>
      </c>
      <c r="BV38" s="123">
        <f t="shared" si="31"/>
        <v>1</v>
      </c>
      <c r="BW38" s="123" t="str">
        <f t="shared" si="31"/>
        <v/>
      </c>
      <c r="BX38" s="123" t="str">
        <f t="shared" si="31"/>
        <v/>
      </c>
      <c r="BY38" s="123" t="str">
        <f t="shared" si="31"/>
        <v/>
      </c>
      <c r="BZ38" s="123" t="str">
        <f t="shared" si="31"/>
        <v/>
      </c>
      <c r="CA38" s="123" t="str">
        <f t="shared" si="31"/>
        <v/>
      </c>
      <c r="CB38" s="123" t="str">
        <f t="shared" si="31"/>
        <v/>
      </c>
      <c r="CC38" s="123" t="str">
        <f t="shared" si="31"/>
        <v/>
      </c>
      <c r="CD38" s="123" t="str">
        <f t="shared" si="31"/>
        <v/>
      </c>
      <c r="CE38" s="123" t="str">
        <f t="shared" si="31"/>
        <v/>
      </c>
      <c r="CF38" s="123" t="str">
        <f t="shared" si="31"/>
        <v/>
      </c>
      <c r="CG38" s="123" t="str">
        <f t="shared" si="31"/>
        <v/>
      </c>
      <c r="CH38" s="123" t="str">
        <f t="shared" si="31"/>
        <v/>
      </c>
      <c r="CI38" s="123" t="str">
        <f t="shared" si="31"/>
        <v/>
      </c>
      <c r="CJ38" s="123" t="str">
        <f t="shared" si="31"/>
        <v/>
      </c>
      <c r="CK38" s="123" t="str">
        <f t="shared" si="31"/>
        <v/>
      </c>
      <c r="CL38" s="123" t="str">
        <f t="shared" si="31"/>
        <v/>
      </c>
      <c r="CM38" s="123" t="str">
        <f t="shared" si="31"/>
        <v/>
      </c>
      <c r="CN38" s="123" t="str">
        <f t="shared" si="31"/>
        <v/>
      </c>
      <c r="CO38" s="123" t="str">
        <f t="shared" si="31"/>
        <v/>
      </c>
      <c r="CP38" s="123" t="str">
        <f t="shared" si="31"/>
        <v/>
      </c>
      <c r="CQ38" s="123" t="str">
        <f t="shared" si="31"/>
        <v/>
      </c>
      <c r="CR38" s="136" t="str">
        <f t="shared" si="31"/>
        <v/>
      </c>
      <c r="CS38" s="136" t="str">
        <f t="shared" si="31"/>
        <v/>
      </c>
      <c r="CT38" s="136" t="str">
        <f t="shared" si="31"/>
        <v/>
      </c>
      <c r="CU38" s="136" t="str">
        <f t="shared" si="31"/>
        <v/>
      </c>
    </row>
    <row r="39" ht="31.5" customHeight="1">
      <c r="B39" s="153" t="s">
        <v>91</v>
      </c>
      <c r="C39" s="154" t="s">
        <v>178</v>
      </c>
      <c r="D39" s="159" t="s">
        <v>114</v>
      </c>
      <c r="E39" s="140">
        <v>46321.0</v>
      </c>
      <c r="F39" s="140">
        <v>46325.0</v>
      </c>
      <c r="G39" s="141">
        <f t="shared" si="3"/>
        <v>5</v>
      </c>
      <c r="H39" s="142" t="s">
        <v>179</v>
      </c>
      <c r="I39" s="156">
        <v>0.2</v>
      </c>
      <c r="J39" s="144" t="str">
        <f t="shared" ref="J39:CU39" si="32">IF(AND(J$6&gt;=$E39,J$6&lt;=$F39),IF(NETWORKDAYS($E39,J$6)&lt;=ROUNDUP(NETWORKDAYS($E39,$F39)*$I39,0),2,1),"")</f>
        <v/>
      </c>
      <c r="K39" s="144" t="str">
        <f t="shared" si="32"/>
        <v/>
      </c>
      <c r="L39" s="144" t="str">
        <f t="shared" si="32"/>
        <v/>
      </c>
      <c r="M39" s="144" t="str">
        <f t="shared" si="32"/>
        <v/>
      </c>
      <c r="N39" s="144" t="str">
        <f t="shared" si="32"/>
        <v/>
      </c>
      <c r="O39" s="146" t="str">
        <f t="shared" si="32"/>
        <v/>
      </c>
      <c r="P39" s="146" t="str">
        <f t="shared" si="32"/>
        <v/>
      </c>
      <c r="Q39" s="146" t="str">
        <f t="shared" si="32"/>
        <v/>
      </c>
      <c r="R39" s="146" t="str">
        <f t="shared" si="32"/>
        <v/>
      </c>
      <c r="S39" s="146" t="str">
        <f t="shared" si="32"/>
        <v/>
      </c>
      <c r="T39" s="144" t="str">
        <f t="shared" si="32"/>
        <v/>
      </c>
      <c r="U39" s="144" t="str">
        <f t="shared" si="32"/>
        <v/>
      </c>
      <c r="V39" s="144" t="str">
        <f t="shared" si="32"/>
        <v/>
      </c>
      <c r="W39" s="144" t="str">
        <f t="shared" si="32"/>
        <v/>
      </c>
      <c r="X39" s="144" t="str">
        <f t="shared" si="32"/>
        <v/>
      </c>
      <c r="Y39" s="147" t="str">
        <f t="shared" si="32"/>
        <v/>
      </c>
      <c r="Z39" s="147" t="str">
        <f t="shared" si="32"/>
        <v/>
      </c>
      <c r="AA39" s="147" t="str">
        <f t="shared" si="32"/>
        <v/>
      </c>
      <c r="AB39" s="147" t="str">
        <f t="shared" si="32"/>
        <v/>
      </c>
      <c r="AC39" s="147" t="str">
        <f t="shared" si="32"/>
        <v/>
      </c>
      <c r="AD39" s="144" t="str">
        <f t="shared" si="32"/>
        <v/>
      </c>
      <c r="AE39" s="144" t="str">
        <f t="shared" si="32"/>
        <v/>
      </c>
      <c r="AF39" s="144" t="str">
        <f t="shared" si="32"/>
        <v/>
      </c>
      <c r="AG39" s="144" t="str">
        <f t="shared" si="32"/>
        <v/>
      </c>
      <c r="AH39" s="144" t="str">
        <f t="shared" si="32"/>
        <v/>
      </c>
      <c r="AI39" s="148" t="str">
        <f t="shared" si="32"/>
        <v/>
      </c>
      <c r="AJ39" s="148" t="str">
        <f t="shared" si="32"/>
        <v/>
      </c>
      <c r="AK39" s="148" t="str">
        <f t="shared" si="32"/>
        <v/>
      </c>
      <c r="AL39" s="148" t="str">
        <f t="shared" si="32"/>
        <v/>
      </c>
      <c r="AM39" s="148" t="str">
        <f t="shared" si="32"/>
        <v/>
      </c>
      <c r="AN39" s="144" t="str">
        <f t="shared" si="32"/>
        <v/>
      </c>
      <c r="AO39" s="144" t="str">
        <f t="shared" si="32"/>
        <v/>
      </c>
      <c r="AP39" s="144" t="str">
        <f t="shared" si="32"/>
        <v/>
      </c>
      <c r="AQ39" s="144" t="str">
        <f t="shared" si="32"/>
        <v/>
      </c>
      <c r="AR39" s="144" t="str">
        <f t="shared" si="32"/>
        <v/>
      </c>
      <c r="AS39" s="148" t="str">
        <f t="shared" si="32"/>
        <v/>
      </c>
      <c r="AT39" s="148" t="str">
        <f t="shared" si="32"/>
        <v/>
      </c>
      <c r="AU39" s="148" t="str">
        <f t="shared" si="32"/>
        <v/>
      </c>
      <c r="AV39" s="148" t="str">
        <f t="shared" si="32"/>
        <v/>
      </c>
      <c r="AW39" s="148" t="str">
        <f t="shared" si="32"/>
        <v/>
      </c>
      <c r="AX39" s="144" t="str">
        <f t="shared" si="32"/>
        <v/>
      </c>
      <c r="AY39" s="144" t="str">
        <f t="shared" si="32"/>
        <v/>
      </c>
      <c r="AZ39" s="144" t="str">
        <f t="shared" si="32"/>
        <v/>
      </c>
      <c r="BA39" s="144" t="str">
        <f t="shared" si="32"/>
        <v/>
      </c>
      <c r="BB39" s="144" t="str">
        <f t="shared" si="32"/>
        <v/>
      </c>
      <c r="BC39" s="149" t="str">
        <f t="shared" si="32"/>
        <v/>
      </c>
      <c r="BD39" s="149" t="str">
        <f t="shared" si="32"/>
        <v/>
      </c>
      <c r="BE39" s="149" t="str">
        <f t="shared" si="32"/>
        <v/>
      </c>
      <c r="BF39" s="149" t="str">
        <f t="shared" si="32"/>
        <v/>
      </c>
      <c r="BG39" s="149" t="str">
        <f t="shared" si="32"/>
        <v/>
      </c>
      <c r="BH39" s="144" t="str">
        <f t="shared" si="32"/>
        <v/>
      </c>
      <c r="BI39" s="144" t="str">
        <f t="shared" si="32"/>
        <v/>
      </c>
      <c r="BJ39" s="144" t="str">
        <f t="shared" si="32"/>
        <v/>
      </c>
      <c r="BK39" s="144" t="str">
        <f t="shared" si="32"/>
        <v/>
      </c>
      <c r="BL39" s="144" t="str">
        <f t="shared" si="32"/>
        <v/>
      </c>
      <c r="BM39" s="149">
        <f t="shared" si="32"/>
        <v>2</v>
      </c>
      <c r="BN39" s="149">
        <f t="shared" si="32"/>
        <v>1</v>
      </c>
      <c r="BO39" s="149">
        <f t="shared" si="32"/>
        <v>1</v>
      </c>
      <c r="BP39" s="149">
        <f t="shared" si="32"/>
        <v>1</v>
      </c>
      <c r="BQ39" s="149">
        <f t="shared" si="32"/>
        <v>1</v>
      </c>
      <c r="BR39" s="150" t="str">
        <f t="shared" si="32"/>
        <v/>
      </c>
      <c r="BS39" s="150" t="str">
        <f t="shared" si="32"/>
        <v/>
      </c>
      <c r="BT39" s="150" t="str">
        <f t="shared" si="32"/>
        <v/>
      </c>
      <c r="BU39" s="150" t="str">
        <f t="shared" si="32"/>
        <v/>
      </c>
      <c r="BV39" s="150" t="str">
        <f t="shared" si="32"/>
        <v/>
      </c>
      <c r="BW39" s="144" t="str">
        <f t="shared" si="32"/>
        <v/>
      </c>
      <c r="BX39" s="144" t="str">
        <f t="shared" si="32"/>
        <v/>
      </c>
      <c r="BY39" s="144" t="str">
        <f t="shared" si="32"/>
        <v/>
      </c>
      <c r="BZ39" s="144" t="str">
        <f t="shared" si="32"/>
        <v/>
      </c>
      <c r="CA39" s="144" t="str">
        <f t="shared" si="32"/>
        <v/>
      </c>
      <c r="CB39" s="150" t="str">
        <f t="shared" si="32"/>
        <v/>
      </c>
      <c r="CC39" s="150" t="str">
        <f t="shared" si="32"/>
        <v/>
      </c>
      <c r="CD39" s="150" t="str">
        <f t="shared" si="32"/>
        <v/>
      </c>
      <c r="CE39" s="150" t="str">
        <f t="shared" si="32"/>
        <v/>
      </c>
      <c r="CF39" s="150" t="str">
        <f t="shared" si="32"/>
        <v/>
      </c>
      <c r="CG39" s="144" t="str">
        <f t="shared" si="32"/>
        <v/>
      </c>
      <c r="CH39" s="144" t="str">
        <f t="shared" si="32"/>
        <v/>
      </c>
      <c r="CI39" s="144" t="str">
        <f t="shared" si="32"/>
        <v/>
      </c>
      <c r="CJ39" s="144" t="str">
        <f t="shared" si="32"/>
        <v/>
      </c>
      <c r="CK39" s="144" t="str">
        <f t="shared" si="32"/>
        <v/>
      </c>
      <c r="CL39" s="151" t="str">
        <f t="shared" si="32"/>
        <v/>
      </c>
      <c r="CM39" s="151" t="str">
        <f t="shared" si="32"/>
        <v/>
      </c>
      <c r="CN39" s="151" t="str">
        <f t="shared" si="32"/>
        <v/>
      </c>
      <c r="CO39" s="151" t="str">
        <f t="shared" si="32"/>
        <v/>
      </c>
      <c r="CP39" s="151" t="str">
        <f t="shared" si="32"/>
        <v/>
      </c>
      <c r="CQ39" s="151" t="str">
        <f t="shared" si="32"/>
        <v/>
      </c>
      <c r="CR39" s="152" t="str">
        <f t="shared" si="32"/>
        <v/>
      </c>
      <c r="CS39" s="152" t="str">
        <f t="shared" si="32"/>
        <v/>
      </c>
      <c r="CT39" s="152" t="str">
        <f t="shared" si="32"/>
        <v/>
      </c>
      <c r="CU39" s="152" t="str">
        <f t="shared" si="32"/>
        <v/>
      </c>
    </row>
    <row r="40" ht="31.5" customHeight="1">
      <c r="B40" s="153" t="s">
        <v>93</v>
      </c>
      <c r="C40" s="154" t="s">
        <v>180</v>
      </c>
      <c r="D40" s="139" t="s">
        <v>114</v>
      </c>
      <c r="E40" s="140">
        <v>46321.0</v>
      </c>
      <c r="F40" s="140">
        <v>46325.0</v>
      </c>
      <c r="G40" s="141">
        <f t="shared" si="3"/>
        <v>5</v>
      </c>
      <c r="H40" s="142" t="s">
        <v>181</v>
      </c>
      <c r="I40" s="143">
        <v>0.0</v>
      </c>
      <c r="J40" s="144" t="str">
        <f t="shared" ref="J40:CU40" si="33">IF(AND(J$6&gt;=$E40,J$6&lt;=$F40),IF(NETWORKDAYS($E40,J$6)&lt;=ROUNDUP(NETWORKDAYS($E40,$F40)*$I40,0),2,1),"")</f>
        <v/>
      </c>
      <c r="K40" s="144" t="str">
        <f t="shared" si="33"/>
        <v/>
      </c>
      <c r="L40" s="144" t="str">
        <f t="shared" si="33"/>
        <v/>
      </c>
      <c r="M40" s="144" t="str">
        <f t="shared" si="33"/>
        <v/>
      </c>
      <c r="N40" s="144" t="str">
        <f t="shared" si="33"/>
        <v/>
      </c>
      <c r="O40" s="146" t="str">
        <f t="shared" si="33"/>
        <v/>
      </c>
      <c r="P40" s="146" t="str">
        <f t="shared" si="33"/>
        <v/>
      </c>
      <c r="Q40" s="146" t="str">
        <f t="shared" si="33"/>
        <v/>
      </c>
      <c r="R40" s="146" t="str">
        <f t="shared" si="33"/>
        <v/>
      </c>
      <c r="S40" s="146" t="str">
        <f t="shared" si="33"/>
        <v/>
      </c>
      <c r="T40" s="144" t="str">
        <f t="shared" si="33"/>
        <v/>
      </c>
      <c r="U40" s="144" t="str">
        <f t="shared" si="33"/>
        <v/>
      </c>
      <c r="V40" s="144" t="str">
        <f t="shared" si="33"/>
        <v/>
      </c>
      <c r="W40" s="144" t="str">
        <f t="shared" si="33"/>
        <v/>
      </c>
      <c r="X40" s="144" t="str">
        <f t="shared" si="33"/>
        <v/>
      </c>
      <c r="Y40" s="147" t="str">
        <f t="shared" si="33"/>
        <v/>
      </c>
      <c r="Z40" s="147" t="str">
        <f t="shared" si="33"/>
        <v/>
      </c>
      <c r="AA40" s="147" t="str">
        <f t="shared" si="33"/>
        <v/>
      </c>
      <c r="AB40" s="147" t="str">
        <f t="shared" si="33"/>
        <v/>
      </c>
      <c r="AC40" s="147" t="str">
        <f t="shared" si="33"/>
        <v/>
      </c>
      <c r="AD40" s="144" t="str">
        <f t="shared" si="33"/>
        <v/>
      </c>
      <c r="AE40" s="144" t="str">
        <f t="shared" si="33"/>
        <v/>
      </c>
      <c r="AF40" s="144" t="str">
        <f t="shared" si="33"/>
        <v/>
      </c>
      <c r="AG40" s="144" t="str">
        <f t="shared" si="33"/>
        <v/>
      </c>
      <c r="AH40" s="144" t="str">
        <f t="shared" si="33"/>
        <v/>
      </c>
      <c r="AI40" s="148" t="str">
        <f t="shared" si="33"/>
        <v/>
      </c>
      <c r="AJ40" s="148" t="str">
        <f t="shared" si="33"/>
        <v/>
      </c>
      <c r="AK40" s="148" t="str">
        <f t="shared" si="33"/>
        <v/>
      </c>
      <c r="AL40" s="148" t="str">
        <f t="shared" si="33"/>
        <v/>
      </c>
      <c r="AM40" s="148" t="str">
        <f t="shared" si="33"/>
        <v/>
      </c>
      <c r="AN40" s="144" t="str">
        <f t="shared" si="33"/>
        <v/>
      </c>
      <c r="AO40" s="144" t="str">
        <f t="shared" si="33"/>
        <v/>
      </c>
      <c r="AP40" s="144" t="str">
        <f t="shared" si="33"/>
        <v/>
      </c>
      <c r="AQ40" s="144" t="str">
        <f t="shared" si="33"/>
        <v/>
      </c>
      <c r="AR40" s="144" t="str">
        <f t="shared" si="33"/>
        <v/>
      </c>
      <c r="AS40" s="148" t="str">
        <f t="shared" si="33"/>
        <v/>
      </c>
      <c r="AT40" s="148" t="str">
        <f t="shared" si="33"/>
        <v/>
      </c>
      <c r="AU40" s="148" t="str">
        <f t="shared" si="33"/>
        <v/>
      </c>
      <c r="AV40" s="148" t="str">
        <f t="shared" si="33"/>
        <v/>
      </c>
      <c r="AW40" s="148" t="str">
        <f t="shared" si="33"/>
        <v/>
      </c>
      <c r="AX40" s="144" t="str">
        <f t="shared" si="33"/>
        <v/>
      </c>
      <c r="AY40" s="144" t="str">
        <f t="shared" si="33"/>
        <v/>
      </c>
      <c r="AZ40" s="144" t="str">
        <f t="shared" si="33"/>
        <v/>
      </c>
      <c r="BA40" s="144" t="str">
        <f t="shared" si="33"/>
        <v/>
      </c>
      <c r="BB40" s="144" t="str">
        <f t="shared" si="33"/>
        <v/>
      </c>
      <c r="BC40" s="149" t="str">
        <f t="shared" si="33"/>
        <v/>
      </c>
      <c r="BD40" s="149" t="str">
        <f t="shared" si="33"/>
        <v/>
      </c>
      <c r="BE40" s="149" t="str">
        <f t="shared" si="33"/>
        <v/>
      </c>
      <c r="BF40" s="149" t="str">
        <f t="shared" si="33"/>
        <v/>
      </c>
      <c r="BG40" s="149" t="str">
        <f t="shared" si="33"/>
        <v/>
      </c>
      <c r="BH40" s="144" t="str">
        <f t="shared" si="33"/>
        <v/>
      </c>
      <c r="BI40" s="144" t="str">
        <f t="shared" si="33"/>
        <v/>
      </c>
      <c r="BJ40" s="144" t="str">
        <f t="shared" si="33"/>
        <v/>
      </c>
      <c r="BK40" s="144" t="str">
        <f t="shared" si="33"/>
        <v/>
      </c>
      <c r="BL40" s="144" t="str">
        <f t="shared" si="33"/>
        <v/>
      </c>
      <c r="BM40" s="149">
        <f t="shared" si="33"/>
        <v>1</v>
      </c>
      <c r="BN40" s="149">
        <f t="shared" si="33"/>
        <v>1</v>
      </c>
      <c r="BO40" s="149">
        <f t="shared" si="33"/>
        <v>1</v>
      </c>
      <c r="BP40" s="149">
        <f t="shared" si="33"/>
        <v>1</v>
      </c>
      <c r="BQ40" s="149">
        <f t="shared" si="33"/>
        <v>1</v>
      </c>
      <c r="BR40" s="150" t="str">
        <f t="shared" si="33"/>
        <v/>
      </c>
      <c r="BS40" s="150" t="str">
        <f t="shared" si="33"/>
        <v/>
      </c>
      <c r="BT40" s="150" t="str">
        <f t="shared" si="33"/>
        <v/>
      </c>
      <c r="BU40" s="150" t="str">
        <f t="shared" si="33"/>
        <v/>
      </c>
      <c r="BV40" s="150" t="str">
        <f t="shared" si="33"/>
        <v/>
      </c>
      <c r="BW40" s="144" t="str">
        <f t="shared" si="33"/>
        <v/>
      </c>
      <c r="BX40" s="144" t="str">
        <f t="shared" si="33"/>
        <v/>
      </c>
      <c r="BY40" s="144" t="str">
        <f t="shared" si="33"/>
        <v/>
      </c>
      <c r="BZ40" s="144" t="str">
        <f t="shared" si="33"/>
        <v/>
      </c>
      <c r="CA40" s="144" t="str">
        <f t="shared" si="33"/>
        <v/>
      </c>
      <c r="CB40" s="150" t="str">
        <f t="shared" si="33"/>
        <v/>
      </c>
      <c r="CC40" s="150" t="str">
        <f t="shared" si="33"/>
        <v/>
      </c>
      <c r="CD40" s="150" t="str">
        <f t="shared" si="33"/>
        <v/>
      </c>
      <c r="CE40" s="150" t="str">
        <f t="shared" si="33"/>
        <v/>
      </c>
      <c r="CF40" s="150" t="str">
        <f t="shared" si="33"/>
        <v/>
      </c>
      <c r="CG40" s="144" t="str">
        <f t="shared" si="33"/>
        <v/>
      </c>
      <c r="CH40" s="144" t="str">
        <f t="shared" si="33"/>
        <v/>
      </c>
      <c r="CI40" s="144" t="str">
        <f t="shared" si="33"/>
        <v/>
      </c>
      <c r="CJ40" s="144" t="str">
        <f t="shared" si="33"/>
        <v/>
      </c>
      <c r="CK40" s="144" t="str">
        <f t="shared" si="33"/>
        <v/>
      </c>
      <c r="CL40" s="151" t="str">
        <f t="shared" si="33"/>
        <v/>
      </c>
      <c r="CM40" s="151" t="str">
        <f t="shared" si="33"/>
        <v/>
      </c>
      <c r="CN40" s="151" t="str">
        <f t="shared" si="33"/>
        <v/>
      </c>
      <c r="CO40" s="151" t="str">
        <f t="shared" si="33"/>
        <v/>
      </c>
      <c r="CP40" s="151" t="str">
        <f t="shared" si="33"/>
        <v/>
      </c>
      <c r="CQ40" s="151" t="str">
        <f t="shared" si="33"/>
        <v/>
      </c>
      <c r="CR40" s="152" t="str">
        <f t="shared" si="33"/>
        <v/>
      </c>
      <c r="CS40" s="152" t="str">
        <f t="shared" si="33"/>
        <v/>
      </c>
      <c r="CT40" s="152" t="str">
        <f t="shared" si="33"/>
        <v/>
      </c>
      <c r="CU40" s="152" t="str">
        <f t="shared" si="33"/>
        <v/>
      </c>
    </row>
    <row r="41" ht="31.5" customHeight="1">
      <c r="B41" s="153" t="s">
        <v>95</v>
      </c>
      <c r="C41" s="154" t="s">
        <v>182</v>
      </c>
      <c r="D41" s="139" t="s">
        <v>108</v>
      </c>
      <c r="E41" s="140">
        <v>46328.0</v>
      </c>
      <c r="F41" s="140">
        <v>46330.0</v>
      </c>
      <c r="G41" s="141">
        <f t="shared" si="3"/>
        <v>3</v>
      </c>
      <c r="H41" s="142" t="s">
        <v>183</v>
      </c>
      <c r="I41" s="156">
        <v>1.0</v>
      </c>
      <c r="J41" s="144" t="str">
        <f t="shared" ref="J41:CU41" si="34">IF(AND(J$6&gt;=$E41,J$6&lt;=$F41),IF(NETWORKDAYS($E41,J$6)&lt;=ROUNDUP(NETWORKDAYS($E41,$F41)*$I41,0),2,1),"")</f>
        <v/>
      </c>
      <c r="K41" s="144" t="str">
        <f t="shared" si="34"/>
        <v/>
      </c>
      <c r="L41" s="144" t="str">
        <f t="shared" si="34"/>
        <v/>
      </c>
      <c r="M41" s="144" t="str">
        <f t="shared" si="34"/>
        <v/>
      </c>
      <c r="N41" s="144" t="str">
        <f t="shared" si="34"/>
        <v/>
      </c>
      <c r="O41" s="146" t="str">
        <f t="shared" si="34"/>
        <v/>
      </c>
      <c r="P41" s="146" t="str">
        <f t="shared" si="34"/>
        <v/>
      </c>
      <c r="Q41" s="146" t="str">
        <f t="shared" si="34"/>
        <v/>
      </c>
      <c r="R41" s="146" t="str">
        <f t="shared" si="34"/>
        <v/>
      </c>
      <c r="S41" s="146" t="str">
        <f t="shared" si="34"/>
        <v/>
      </c>
      <c r="T41" s="144" t="str">
        <f t="shared" si="34"/>
        <v/>
      </c>
      <c r="U41" s="144" t="str">
        <f t="shared" si="34"/>
        <v/>
      </c>
      <c r="V41" s="144" t="str">
        <f t="shared" si="34"/>
        <v/>
      </c>
      <c r="W41" s="144" t="str">
        <f t="shared" si="34"/>
        <v/>
      </c>
      <c r="X41" s="144" t="str">
        <f t="shared" si="34"/>
        <v/>
      </c>
      <c r="Y41" s="147" t="str">
        <f t="shared" si="34"/>
        <v/>
      </c>
      <c r="Z41" s="147" t="str">
        <f t="shared" si="34"/>
        <v/>
      </c>
      <c r="AA41" s="147" t="str">
        <f t="shared" si="34"/>
        <v/>
      </c>
      <c r="AB41" s="147" t="str">
        <f t="shared" si="34"/>
        <v/>
      </c>
      <c r="AC41" s="147" t="str">
        <f t="shared" si="34"/>
        <v/>
      </c>
      <c r="AD41" s="144" t="str">
        <f t="shared" si="34"/>
        <v/>
      </c>
      <c r="AE41" s="144" t="str">
        <f t="shared" si="34"/>
        <v/>
      </c>
      <c r="AF41" s="144" t="str">
        <f t="shared" si="34"/>
        <v/>
      </c>
      <c r="AG41" s="144" t="str">
        <f t="shared" si="34"/>
        <v/>
      </c>
      <c r="AH41" s="144" t="str">
        <f t="shared" si="34"/>
        <v/>
      </c>
      <c r="AI41" s="148" t="str">
        <f t="shared" si="34"/>
        <v/>
      </c>
      <c r="AJ41" s="148" t="str">
        <f t="shared" si="34"/>
        <v/>
      </c>
      <c r="AK41" s="148" t="str">
        <f t="shared" si="34"/>
        <v/>
      </c>
      <c r="AL41" s="148" t="str">
        <f t="shared" si="34"/>
        <v/>
      </c>
      <c r="AM41" s="148" t="str">
        <f t="shared" si="34"/>
        <v/>
      </c>
      <c r="AN41" s="144" t="str">
        <f t="shared" si="34"/>
        <v/>
      </c>
      <c r="AO41" s="144" t="str">
        <f t="shared" si="34"/>
        <v/>
      </c>
      <c r="AP41" s="144" t="str">
        <f t="shared" si="34"/>
        <v/>
      </c>
      <c r="AQ41" s="144" t="str">
        <f t="shared" si="34"/>
        <v/>
      </c>
      <c r="AR41" s="144" t="str">
        <f t="shared" si="34"/>
        <v/>
      </c>
      <c r="AS41" s="148" t="str">
        <f t="shared" si="34"/>
        <v/>
      </c>
      <c r="AT41" s="148" t="str">
        <f t="shared" si="34"/>
        <v/>
      </c>
      <c r="AU41" s="148" t="str">
        <f t="shared" si="34"/>
        <v/>
      </c>
      <c r="AV41" s="148" t="str">
        <f t="shared" si="34"/>
        <v/>
      </c>
      <c r="AW41" s="148" t="str">
        <f t="shared" si="34"/>
        <v/>
      </c>
      <c r="AX41" s="144" t="str">
        <f t="shared" si="34"/>
        <v/>
      </c>
      <c r="AY41" s="144" t="str">
        <f t="shared" si="34"/>
        <v/>
      </c>
      <c r="AZ41" s="144" t="str">
        <f t="shared" si="34"/>
        <v/>
      </c>
      <c r="BA41" s="144" t="str">
        <f t="shared" si="34"/>
        <v/>
      </c>
      <c r="BB41" s="144" t="str">
        <f t="shared" si="34"/>
        <v/>
      </c>
      <c r="BC41" s="149" t="str">
        <f t="shared" si="34"/>
        <v/>
      </c>
      <c r="BD41" s="149" t="str">
        <f t="shared" si="34"/>
        <v/>
      </c>
      <c r="BE41" s="149" t="str">
        <f t="shared" si="34"/>
        <v/>
      </c>
      <c r="BF41" s="149" t="str">
        <f t="shared" si="34"/>
        <v/>
      </c>
      <c r="BG41" s="149" t="str">
        <f t="shared" si="34"/>
        <v/>
      </c>
      <c r="BH41" s="144" t="str">
        <f t="shared" si="34"/>
        <v/>
      </c>
      <c r="BI41" s="144" t="str">
        <f t="shared" si="34"/>
        <v/>
      </c>
      <c r="BJ41" s="144" t="str">
        <f t="shared" si="34"/>
        <v/>
      </c>
      <c r="BK41" s="144" t="str">
        <f t="shared" si="34"/>
        <v/>
      </c>
      <c r="BL41" s="144" t="str">
        <f t="shared" si="34"/>
        <v/>
      </c>
      <c r="BM41" s="149" t="str">
        <f t="shared" si="34"/>
        <v/>
      </c>
      <c r="BN41" s="149" t="str">
        <f t="shared" si="34"/>
        <v/>
      </c>
      <c r="BO41" s="149" t="str">
        <f t="shared" si="34"/>
        <v/>
      </c>
      <c r="BP41" s="149" t="str">
        <f t="shared" si="34"/>
        <v/>
      </c>
      <c r="BQ41" s="149" t="str">
        <f t="shared" si="34"/>
        <v/>
      </c>
      <c r="BR41" s="150">
        <f t="shared" si="34"/>
        <v>2</v>
      </c>
      <c r="BS41" s="150">
        <f t="shared" si="34"/>
        <v>2</v>
      </c>
      <c r="BT41" s="150">
        <f t="shared" si="34"/>
        <v>2</v>
      </c>
      <c r="BU41" s="150" t="str">
        <f t="shared" si="34"/>
        <v/>
      </c>
      <c r="BV41" s="150" t="str">
        <f t="shared" si="34"/>
        <v/>
      </c>
      <c r="BW41" s="144" t="str">
        <f t="shared" si="34"/>
        <v/>
      </c>
      <c r="BX41" s="144" t="str">
        <f t="shared" si="34"/>
        <v/>
      </c>
      <c r="BY41" s="144" t="str">
        <f t="shared" si="34"/>
        <v/>
      </c>
      <c r="BZ41" s="144" t="str">
        <f t="shared" si="34"/>
        <v/>
      </c>
      <c r="CA41" s="144" t="str">
        <f t="shared" si="34"/>
        <v/>
      </c>
      <c r="CB41" s="150" t="str">
        <f t="shared" si="34"/>
        <v/>
      </c>
      <c r="CC41" s="150" t="str">
        <f t="shared" si="34"/>
        <v/>
      </c>
      <c r="CD41" s="150" t="str">
        <f t="shared" si="34"/>
        <v/>
      </c>
      <c r="CE41" s="150" t="str">
        <f t="shared" si="34"/>
        <v/>
      </c>
      <c r="CF41" s="150" t="str">
        <f t="shared" si="34"/>
        <v/>
      </c>
      <c r="CG41" s="144" t="str">
        <f t="shared" si="34"/>
        <v/>
      </c>
      <c r="CH41" s="144" t="str">
        <f t="shared" si="34"/>
        <v/>
      </c>
      <c r="CI41" s="144" t="str">
        <f t="shared" si="34"/>
        <v/>
      </c>
      <c r="CJ41" s="144" t="str">
        <f t="shared" si="34"/>
        <v/>
      </c>
      <c r="CK41" s="144" t="str">
        <f t="shared" si="34"/>
        <v/>
      </c>
      <c r="CL41" s="151" t="str">
        <f t="shared" si="34"/>
        <v/>
      </c>
      <c r="CM41" s="151" t="str">
        <f t="shared" si="34"/>
        <v/>
      </c>
      <c r="CN41" s="151" t="str">
        <f t="shared" si="34"/>
        <v/>
      </c>
      <c r="CO41" s="151" t="str">
        <f t="shared" si="34"/>
        <v/>
      </c>
      <c r="CP41" s="151" t="str">
        <f t="shared" si="34"/>
        <v/>
      </c>
      <c r="CQ41" s="151" t="str">
        <f t="shared" si="34"/>
        <v/>
      </c>
      <c r="CR41" s="152" t="str">
        <f t="shared" si="34"/>
        <v/>
      </c>
      <c r="CS41" s="152" t="str">
        <f t="shared" si="34"/>
        <v/>
      </c>
      <c r="CT41" s="152" t="str">
        <f t="shared" si="34"/>
        <v/>
      </c>
      <c r="CU41" s="152" t="str">
        <f t="shared" si="34"/>
        <v/>
      </c>
    </row>
    <row r="42" ht="31.5" customHeight="1">
      <c r="B42" s="153" t="s">
        <v>97</v>
      </c>
      <c r="C42" s="154" t="s">
        <v>184</v>
      </c>
      <c r="D42" s="139" t="s">
        <v>66</v>
      </c>
      <c r="E42" s="140">
        <v>46328.0</v>
      </c>
      <c r="F42" s="140">
        <v>46332.0</v>
      </c>
      <c r="G42" s="141">
        <f t="shared" si="3"/>
        <v>5</v>
      </c>
      <c r="H42" s="142" t="s">
        <v>185</v>
      </c>
      <c r="I42" s="156">
        <v>0.5</v>
      </c>
      <c r="J42" s="144" t="str">
        <f t="shared" ref="J42:CU42" si="35">IF(AND(J$6&gt;=$E42,J$6&lt;=$F42),IF(NETWORKDAYS($E42,J$6)&lt;=ROUNDUP(NETWORKDAYS($E42,$F42)*$I42,0),2,1),"")</f>
        <v/>
      </c>
      <c r="K42" s="144" t="str">
        <f t="shared" si="35"/>
        <v/>
      </c>
      <c r="L42" s="144" t="str">
        <f t="shared" si="35"/>
        <v/>
      </c>
      <c r="M42" s="144" t="str">
        <f t="shared" si="35"/>
        <v/>
      </c>
      <c r="N42" s="144" t="str">
        <f t="shared" si="35"/>
        <v/>
      </c>
      <c r="O42" s="146" t="str">
        <f t="shared" si="35"/>
        <v/>
      </c>
      <c r="P42" s="146" t="str">
        <f t="shared" si="35"/>
        <v/>
      </c>
      <c r="Q42" s="146" t="str">
        <f t="shared" si="35"/>
        <v/>
      </c>
      <c r="R42" s="146" t="str">
        <f t="shared" si="35"/>
        <v/>
      </c>
      <c r="S42" s="146" t="str">
        <f t="shared" si="35"/>
        <v/>
      </c>
      <c r="T42" s="144" t="str">
        <f t="shared" si="35"/>
        <v/>
      </c>
      <c r="U42" s="144" t="str">
        <f t="shared" si="35"/>
        <v/>
      </c>
      <c r="V42" s="144" t="str">
        <f t="shared" si="35"/>
        <v/>
      </c>
      <c r="W42" s="144" t="str">
        <f t="shared" si="35"/>
        <v/>
      </c>
      <c r="X42" s="144" t="str">
        <f t="shared" si="35"/>
        <v/>
      </c>
      <c r="Y42" s="147" t="str">
        <f t="shared" si="35"/>
        <v/>
      </c>
      <c r="Z42" s="147" t="str">
        <f t="shared" si="35"/>
        <v/>
      </c>
      <c r="AA42" s="147" t="str">
        <f t="shared" si="35"/>
        <v/>
      </c>
      <c r="AB42" s="147" t="str">
        <f t="shared" si="35"/>
        <v/>
      </c>
      <c r="AC42" s="147" t="str">
        <f t="shared" si="35"/>
        <v/>
      </c>
      <c r="AD42" s="144" t="str">
        <f t="shared" si="35"/>
        <v/>
      </c>
      <c r="AE42" s="144" t="str">
        <f t="shared" si="35"/>
        <v/>
      </c>
      <c r="AF42" s="144" t="str">
        <f t="shared" si="35"/>
        <v/>
      </c>
      <c r="AG42" s="144" t="str">
        <f t="shared" si="35"/>
        <v/>
      </c>
      <c r="AH42" s="144" t="str">
        <f t="shared" si="35"/>
        <v/>
      </c>
      <c r="AI42" s="148" t="str">
        <f t="shared" si="35"/>
        <v/>
      </c>
      <c r="AJ42" s="148" t="str">
        <f t="shared" si="35"/>
        <v/>
      </c>
      <c r="AK42" s="148" t="str">
        <f t="shared" si="35"/>
        <v/>
      </c>
      <c r="AL42" s="148" t="str">
        <f t="shared" si="35"/>
        <v/>
      </c>
      <c r="AM42" s="148" t="str">
        <f t="shared" si="35"/>
        <v/>
      </c>
      <c r="AN42" s="144" t="str">
        <f t="shared" si="35"/>
        <v/>
      </c>
      <c r="AO42" s="144" t="str">
        <f t="shared" si="35"/>
        <v/>
      </c>
      <c r="AP42" s="144" t="str">
        <f t="shared" si="35"/>
        <v/>
      </c>
      <c r="AQ42" s="144" t="str">
        <f t="shared" si="35"/>
        <v/>
      </c>
      <c r="AR42" s="144" t="str">
        <f t="shared" si="35"/>
        <v/>
      </c>
      <c r="AS42" s="148" t="str">
        <f t="shared" si="35"/>
        <v/>
      </c>
      <c r="AT42" s="148" t="str">
        <f t="shared" si="35"/>
        <v/>
      </c>
      <c r="AU42" s="148" t="str">
        <f t="shared" si="35"/>
        <v/>
      </c>
      <c r="AV42" s="148" t="str">
        <f t="shared" si="35"/>
        <v/>
      </c>
      <c r="AW42" s="148" t="str">
        <f t="shared" si="35"/>
        <v/>
      </c>
      <c r="AX42" s="144" t="str">
        <f t="shared" si="35"/>
        <v/>
      </c>
      <c r="AY42" s="144" t="str">
        <f t="shared" si="35"/>
        <v/>
      </c>
      <c r="AZ42" s="144" t="str">
        <f t="shared" si="35"/>
        <v/>
      </c>
      <c r="BA42" s="144" t="str">
        <f t="shared" si="35"/>
        <v/>
      </c>
      <c r="BB42" s="144" t="str">
        <f t="shared" si="35"/>
        <v/>
      </c>
      <c r="BC42" s="149" t="str">
        <f t="shared" si="35"/>
        <v/>
      </c>
      <c r="BD42" s="149" t="str">
        <f t="shared" si="35"/>
        <v/>
      </c>
      <c r="BE42" s="149" t="str">
        <f t="shared" si="35"/>
        <v/>
      </c>
      <c r="BF42" s="149" t="str">
        <f t="shared" si="35"/>
        <v/>
      </c>
      <c r="BG42" s="149" t="str">
        <f t="shared" si="35"/>
        <v/>
      </c>
      <c r="BH42" s="144" t="str">
        <f t="shared" si="35"/>
        <v/>
      </c>
      <c r="BI42" s="144" t="str">
        <f t="shared" si="35"/>
        <v/>
      </c>
      <c r="BJ42" s="144" t="str">
        <f t="shared" si="35"/>
        <v/>
      </c>
      <c r="BK42" s="144" t="str">
        <f t="shared" si="35"/>
        <v/>
      </c>
      <c r="BL42" s="144" t="str">
        <f t="shared" si="35"/>
        <v/>
      </c>
      <c r="BM42" s="149" t="str">
        <f t="shared" si="35"/>
        <v/>
      </c>
      <c r="BN42" s="149" t="str">
        <f t="shared" si="35"/>
        <v/>
      </c>
      <c r="BO42" s="149" t="str">
        <f t="shared" si="35"/>
        <v/>
      </c>
      <c r="BP42" s="149" t="str">
        <f t="shared" si="35"/>
        <v/>
      </c>
      <c r="BQ42" s="149" t="str">
        <f t="shared" si="35"/>
        <v/>
      </c>
      <c r="BR42" s="150">
        <f t="shared" si="35"/>
        <v>2</v>
      </c>
      <c r="BS42" s="150">
        <f t="shared" si="35"/>
        <v>2</v>
      </c>
      <c r="BT42" s="150">
        <f t="shared" si="35"/>
        <v>2</v>
      </c>
      <c r="BU42" s="150">
        <f t="shared" si="35"/>
        <v>1</v>
      </c>
      <c r="BV42" s="150">
        <f t="shared" si="35"/>
        <v>1</v>
      </c>
      <c r="BW42" s="144" t="str">
        <f t="shared" si="35"/>
        <v/>
      </c>
      <c r="BX42" s="144" t="str">
        <f t="shared" si="35"/>
        <v/>
      </c>
      <c r="BY42" s="144" t="str">
        <f t="shared" si="35"/>
        <v/>
      </c>
      <c r="BZ42" s="144" t="str">
        <f t="shared" si="35"/>
        <v/>
      </c>
      <c r="CA42" s="144" t="str">
        <f t="shared" si="35"/>
        <v/>
      </c>
      <c r="CB42" s="150" t="str">
        <f t="shared" si="35"/>
        <v/>
      </c>
      <c r="CC42" s="150" t="str">
        <f t="shared" si="35"/>
        <v/>
      </c>
      <c r="CD42" s="150" t="str">
        <f t="shared" si="35"/>
        <v/>
      </c>
      <c r="CE42" s="150" t="str">
        <f t="shared" si="35"/>
        <v/>
      </c>
      <c r="CF42" s="150" t="str">
        <f t="shared" si="35"/>
        <v/>
      </c>
      <c r="CG42" s="144" t="str">
        <f t="shared" si="35"/>
        <v/>
      </c>
      <c r="CH42" s="144" t="str">
        <f t="shared" si="35"/>
        <v/>
      </c>
      <c r="CI42" s="144" t="str">
        <f t="shared" si="35"/>
        <v/>
      </c>
      <c r="CJ42" s="144" t="str">
        <f t="shared" si="35"/>
        <v/>
      </c>
      <c r="CK42" s="144" t="str">
        <f t="shared" si="35"/>
        <v/>
      </c>
      <c r="CL42" s="151" t="str">
        <f t="shared" si="35"/>
        <v/>
      </c>
      <c r="CM42" s="151" t="str">
        <f t="shared" si="35"/>
        <v/>
      </c>
      <c r="CN42" s="151" t="str">
        <f t="shared" si="35"/>
        <v/>
      </c>
      <c r="CO42" s="151" t="str">
        <f t="shared" si="35"/>
        <v/>
      </c>
      <c r="CP42" s="151" t="str">
        <f t="shared" si="35"/>
        <v/>
      </c>
      <c r="CQ42" s="151" t="str">
        <f t="shared" si="35"/>
        <v/>
      </c>
      <c r="CR42" s="152" t="str">
        <f t="shared" si="35"/>
        <v/>
      </c>
      <c r="CS42" s="152" t="str">
        <f t="shared" si="35"/>
        <v/>
      </c>
      <c r="CT42" s="152" t="str">
        <f t="shared" si="35"/>
        <v/>
      </c>
      <c r="CU42" s="152" t="str">
        <f t="shared" si="35"/>
        <v/>
      </c>
    </row>
    <row r="43" ht="31.5" customHeight="1">
      <c r="B43" s="153" t="s">
        <v>186</v>
      </c>
      <c r="C43" s="154" t="s">
        <v>187</v>
      </c>
      <c r="D43" s="139" t="s">
        <v>114</v>
      </c>
      <c r="E43" s="140">
        <v>46328.0</v>
      </c>
      <c r="F43" s="140">
        <v>46332.0</v>
      </c>
      <c r="G43" s="141">
        <f t="shared" si="3"/>
        <v>5</v>
      </c>
      <c r="H43" s="142" t="s">
        <v>188</v>
      </c>
      <c r="I43" s="143">
        <v>0.0</v>
      </c>
      <c r="J43" s="144" t="str">
        <f t="shared" ref="J43:CU43" si="36">IF(AND(J$6&gt;=$E43,J$6&lt;=$F43),IF(NETWORKDAYS($E43,J$6)&lt;=ROUNDUP(NETWORKDAYS($E43,$F43)*$I43,0),2,1),"")</f>
        <v/>
      </c>
      <c r="K43" s="144" t="str">
        <f t="shared" si="36"/>
        <v/>
      </c>
      <c r="L43" s="144" t="str">
        <f t="shared" si="36"/>
        <v/>
      </c>
      <c r="M43" s="144" t="str">
        <f t="shared" si="36"/>
        <v/>
      </c>
      <c r="N43" s="144" t="str">
        <f t="shared" si="36"/>
        <v/>
      </c>
      <c r="O43" s="146" t="str">
        <f t="shared" si="36"/>
        <v/>
      </c>
      <c r="P43" s="146" t="str">
        <f t="shared" si="36"/>
        <v/>
      </c>
      <c r="Q43" s="146" t="str">
        <f t="shared" si="36"/>
        <v/>
      </c>
      <c r="R43" s="146" t="str">
        <f t="shared" si="36"/>
        <v/>
      </c>
      <c r="S43" s="146" t="str">
        <f t="shared" si="36"/>
        <v/>
      </c>
      <c r="T43" s="144" t="str">
        <f t="shared" si="36"/>
        <v/>
      </c>
      <c r="U43" s="144" t="str">
        <f t="shared" si="36"/>
        <v/>
      </c>
      <c r="V43" s="144" t="str">
        <f t="shared" si="36"/>
        <v/>
      </c>
      <c r="W43" s="144" t="str">
        <f t="shared" si="36"/>
        <v/>
      </c>
      <c r="X43" s="144" t="str">
        <f t="shared" si="36"/>
        <v/>
      </c>
      <c r="Y43" s="147" t="str">
        <f t="shared" si="36"/>
        <v/>
      </c>
      <c r="Z43" s="147" t="str">
        <f t="shared" si="36"/>
        <v/>
      </c>
      <c r="AA43" s="147" t="str">
        <f t="shared" si="36"/>
        <v/>
      </c>
      <c r="AB43" s="147" t="str">
        <f t="shared" si="36"/>
        <v/>
      </c>
      <c r="AC43" s="147" t="str">
        <f t="shared" si="36"/>
        <v/>
      </c>
      <c r="AD43" s="144" t="str">
        <f t="shared" si="36"/>
        <v/>
      </c>
      <c r="AE43" s="144" t="str">
        <f t="shared" si="36"/>
        <v/>
      </c>
      <c r="AF43" s="144" t="str">
        <f t="shared" si="36"/>
        <v/>
      </c>
      <c r="AG43" s="144" t="str">
        <f t="shared" si="36"/>
        <v/>
      </c>
      <c r="AH43" s="144" t="str">
        <f t="shared" si="36"/>
        <v/>
      </c>
      <c r="AI43" s="148" t="str">
        <f t="shared" si="36"/>
        <v/>
      </c>
      <c r="AJ43" s="148" t="str">
        <f t="shared" si="36"/>
        <v/>
      </c>
      <c r="AK43" s="148" t="str">
        <f t="shared" si="36"/>
        <v/>
      </c>
      <c r="AL43" s="148" t="str">
        <f t="shared" si="36"/>
        <v/>
      </c>
      <c r="AM43" s="148" t="str">
        <f t="shared" si="36"/>
        <v/>
      </c>
      <c r="AN43" s="144" t="str">
        <f t="shared" si="36"/>
        <v/>
      </c>
      <c r="AO43" s="144" t="str">
        <f t="shared" si="36"/>
        <v/>
      </c>
      <c r="AP43" s="144" t="str">
        <f t="shared" si="36"/>
        <v/>
      </c>
      <c r="AQ43" s="144" t="str">
        <f t="shared" si="36"/>
        <v/>
      </c>
      <c r="AR43" s="144" t="str">
        <f t="shared" si="36"/>
        <v/>
      </c>
      <c r="AS43" s="148" t="str">
        <f t="shared" si="36"/>
        <v/>
      </c>
      <c r="AT43" s="148" t="str">
        <f t="shared" si="36"/>
        <v/>
      </c>
      <c r="AU43" s="148" t="str">
        <f t="shared" si="36"/>
        <v/>
      </c>
      <c r="AV43" s="148" t="str">
        <f t="shared" si="36"/>
        <v/>
      </c>
      <c r="AW43" s="148" t="str">
        <f t="shared" si="36"/>
        <v/>
      </c>
      <c r="AX43" s="144" t="str">
        <f t="shared" si="36"/>
        <v/>
      </c>
      <c r="AY43" s="144" t="str">
        <f t="shared" si="36"/>
        <v/>
      </c>
      <c r="AZ43" s="144" t="str">
        <f t="shared" si="36"/>
        <v/>
      </c>
      <c r="BA43" s="144" t="str">
        <f t="shared" si="36"/>
        <v/>
      </c>
      <c r="BB43" s="144" t="str">
        <f t="shared" si="36"/>
        <v/>
      </c>
      <c r="BC43" s="149" t="str">
        <f t="shared" si="36"/>
        <v/>
      </c>
      <c r="BD43" s="149" t="str">
        <f t="shared" si="36"/>
        <v/>
      </c>
      <c r="BE43" s="149" t="str">
        <f t="shared" si="36"/>
        <v/>
      </c>
      <c r="BF43" s="149" t="str">
        <f t="shared" si="36"/>
        <v/>
      </c>
      <c r="BG43" s="149" t="str">
        <f t="shared" si="36"/>
        <v/>
      </c>
      <c r="BH43" s="144" t="str">
        <f t="shared" si="36"/>
        <v/>
      </c>
      <c r="BI43" s="144" t="str">
        <f t="shared" si="36"/>
        <v/>
      </c>
      <c r="BJ43" s="144" t="str">
        <f t="shared" si="36"/>
        <v/>
      </c>
      <c r="BK43" s="144" t="str">
        <f t="shared" si="36"/>
        <v/>
      </c>
      <c r="BL43" s="144" t="str">
        <f t="shared" si="36"/>
        <v/>
      </c>
      <c r="BM43" s="149" t="str">
        <f t="shared" si="36"/>
        <v/>
      </c>
      <c r="BN43" s="149" t="str">
        <f t="shared" si="36"/>
        <v/>
      </c>
      <c r="BO43" s="149" t="str">
        <f t="shared" si="36"/>
        <v/>
      </c>
      <c r="BP43" s="149" t="str">
        <f t="shared" si="36"/>
        <v/>
      </c>
      <c r="BQ43" s="149" t="str">
        <f t="shared" si="36"/>
        <v/>
      </c>
      <c r="BR43" s="150">
        <f t="shared" si="36"/>
        <v>1</v>
      </c>
      <c r="BS43" s="150">
        <f t="shared" si="36"/>
        <v>1</v>
      </c>
      <c r="BT43" s="150">
        <f t="shared" si="36"/>
        <v>1</v>
      </c>
      <c r="BU43" s="150">
        <f t="shared" si="36"/>
        <v>1</v>
      </c>
      <c r="BV43" s="150">
        <f t="shared" si="36"/>
        <v>1</v>
      </c>
      <c r="BW43" s="144" t="str">
        <f t="shared" si="36"/>
        <v/>
      </c>
      <c r="BX43" s="144" t="str">
        <f t="shared" si="36"/>
        <v/>
      </c>
      <c r="BY43" s="144" t="str">
        <f t="shared" si="36"/>
        <v/>
      </c>
      <c r="BZ43" s="144" t="str">
        <f t="shared" si="36"/>
        <v/>
      </c>
      <c r="CA43" s="144" t="str">
        <f t="shared" si="36"/>
        <v/>
      </c>
      <c r="CB43" s="150" t="str">
        <f t="shared" si="36"/>
        <v/>
      </c>
      <c r="CC43" s="150" t="str">
        <f t="shared" si="36"/>
        <v/>
      </c>
      <c r="CD43" s="150" t="str">
        <f t="shared" si="36"/>
        <v/>
      </c>
      <c r="CE43" s="150" t="str">
        <f t="shared" si="36"/>
        <v/>
      </c>
      <c r="CF43" s="150" t="str">
        <f t="shared" si="36"/>
        <v/>
      </c>
      <c r="CG43" s="144" t="str">
        <f t="shared" si="36"/>
        <v/>
      </c>
      <c r="CH43" s="144" t="str">
        <f t="shared" si="36"/>
        <v/>
      </c>
      <c r="CI43" s="144" t="str">
        <f t="shared" si="36"/>
        <v/>
      </c>
      <c r="CJ43" s="144" t="str">
        <f t="shared" si="36"/>
        <v/>
      </c>
      <c r="CK43" s="144" t="str">
        <f t="shared" si="36"/>
        <v/>
      </c>
      <c r="CL43" s="151" t="str">
        <f t="shared" si="36"/>
        <v/>
      </c>
      <c r="CM43" s="151" t="str">
        <f t="shared" si="36"/>
        <v/>
      </c>
      <c r="CN43" s="151" t="str">
        <f t="shared" si="36"/>
        <v/>
      </c>
      <c r="CO43" s="151" t="str">
        <f t="shared" si="36"/>
        <v/>
      </c>
      <c r="CP43" s="151" t="str">
        <f t="shared" si="36"/>
        <v/>
      </c>
      <c r="CQ43" s="151" t="str">
        <f t="shared" si="36"/>
        <v/>
      </c>
      <c r="CR43" s="152" t="str">
        <f t="shared" si="36"/>
        <v/>
      </c>
      <c r="CS43" s="152" t="str">
        <f t="shared" si="36"/>
        <v/>
      </c>
      <c r="CT43" s="152" t="str">
        <f t="shared" si="36"/>
        <v/>
      </c>
      <c r="CU43" s="152" t="str">
        <f t="shared" si="36"/>
        <v/>
      </c>
    </row>
    <row r="44" ht="31.5" customHeight="1">
      <c r="B44" s="153" t="s">
        <v>189</v>
      </c>
      <c r="C44" s="154" t="s">
        <v>190</v>
      </c>
      <c r="D44" s="139" t="s">
        <v>108</v>
      </c>
      <c r="E44" s="140">
        <v>46331.0</v>
      </c>
      <c r="F44" s="140">
        <v>46332.0</v>
      </c>
      <c r="G44" s="141">
        <f t="shared" si="3"/>
        <v>2</v>
      </c>
      <c r="H44" s="142" t="s">
        <v>191</v>
      </c>
      <c r="I44" s="156">
        <v>1.0</v>
      </c>
      <c r="J44" s="144" t="str">
        <f t="shared" ref="J44:CU44" si="37">IF(AND(J$6&gt;=$E44,J$6&lt;=$F44),IF(NETWORKDAYS($E44,J$6)&lt;=ROUNDUP(NETWORKDAYS($E44,$F44)*$I44,0),2,1),"")</f>
        <v/>
      </c>
      <c r="K44" s="144" t="str">
        <f t="shared" si="37"/>
        <v/>
      </c>
      <c r="L44" s="144" t="str">
        <f t="shared" si="37"/>
        <v/>
      </c>
      <c r="M44" s="144" t="str">
        <f t="shared" si="37"/>
        <v/>
      </c>
      <c r="N44" s="144" t="str">
        <f t="shared" si="37"/>
        <v/>
      </c>
      <c r="O44" s="146" t="str">
        <f t="shared" si="37"/>
        <v/>
      </c>
      <c r="P44" s="146" t="str">
        <f t="shared" si="37"/>
        <v/>
      </c>
      <c r="Q44" s="146" t="str">
        <f t="shared" si="37"/>
        <v/>
      </c>
      <c r="R44" s="146" t="str">
        <f t="shared" si="37"/>
        <v/>
      </c>
      <c r="S44" s="146" t="str">
        <f t="shared" si="37"/>
        <v/>
      </c>
      <c r="T44" s="144" t="str">
        <f t="shared" si="37"/>
        <v/>
      </c>
      <c r="U44" s="144" t="str">
        <f t="shared" si="37"/>
        <v/>
      </c>
      <c r="V44" s="144" t="str">
        <f t="shared" si="37"/>
        <v/>
      </c>
      <c r="W44" s="144" t="str">
        <f t="shared" si="37"/>
        <v/>
      </c>
      <c r="X44" s="144" t="str">
        <f t="shared" si="37"/>
        <v/>
      </c>
      <c r="Y44" s="147" t="str">
        <f t="shared" si="37"/>
        <v/>
      </c>
      <c r="Z44" s="147" t="str">
        <f t="shared" si="37"/>
        <v/>
      </c>
      <c r="AA44" s="147" t="str">
        <f t="shared" si="37"/>
        <v/>
      </c>
      <c r="AB44" s="147" t="str">
        <f t="shared" si="37"/>
        <v/>
      </c>
      <c r="AC44" s="147" t="str">
        <f t="shared" si="37"/>
        <v/>
      </c>
      <c r="AD44" s="144" t="str">
        <f t="shared" si="37"/>
        <v/>
      </c>
      <c r="AE44" s="144" t="str">
        <f t="shared" si="37"/>
        <v/>
      </c>
      <c r="AF44" s="144" t="str">
        <f t="shared" si="37"/>
        <v/>
      </c>
      <c r="AG44" s="144" t="str">
        <f t="shared" si="37"/>
        <v/>
      </c>
      <c r="AH44" s="144" t="str">
        <f t="shared" si="37"/>
        <v/>
      </c>
      <c r="AI44" s="148" t="str">
        <f t="shared" si="37"/>
        <v/>
      </c>
      <c r="AJ44" s="148" t="str">
        <f t="shared" si="37"/>
        <v/>
      </c>
      <c r="AK44" s="148" t="str">
        <f t="shared" si="37"/>
        <v/>
      </c>
      <c r="AL44" s="148" t="str">
        <f t="shared" si="37"/>
        <v/>
      </c>
      <c r="AM44" s="148" t="str">
        <f t="shared" si="37"/>
        <v/>
      </c>
      <c r="AN44" s="144" t="str">
        <f t="shared" si="37"/>
        <v/>
      </c>
      <c r="AO44" s="144" t="str">
        <f t="shared" si="37"/>
        <v/>
      </c>
      <c r="AP44" s="144" t="str">
        <f t="shared" si="37"/>
        <v/>
      </c>
      <c r="AQ44" s="144" t="str">
        <f t="shared" si="37"/>
        <v/>
      </c>
      <c r="AR44" s="144" t="str">
        <f t="shared" si="37"/>
        <v/>
      </c>
      <c r="AS44" s="148" t="str">
        <f t="shared" si="37"/>
        <v/>
      </c>
      <c r="AT44" s="148" t="str">
        <f t="shared" si="37"/>
        <v/>
      </c>
      <c r="AU44" s="148" t="str">
        <f t="shared" si="37"/>
        <v/>
      </c>
      <c r="AV44" s="148" t="str">
        <f t="shared" si="37"/>
        <v/>
      </c>
      <c r="AW44" s="148" t="str">
        <f t="shared" si="37"/>
        <v/>
      </c>
      <c r="AX44" s="144" t="str">
        <f t="shared" si="37"/>
        <v/>
      </c>
      <c r="AY44" s="144" t="str">
        <f t="shared" si="37"/>
        <v/>
      </c>
      <c r="AZ44" s="144" t="str">
        <f t="shared" si="37"/>
        <v/>
      </c>
      <c r="BA44" s="144" t="str">
        <f t="shared" si="37"/>
        <v/>
      </c>
      <c r="BB44" s="144" t="str">
        <f t="shared" si="37"/>
        <v/>
      </c>
      <c r="BC44" s="149" t="str">
        <f t="shared" si="37"/>
        <v/>
      </c>
      <c r="BD44" s="149" t="str">
        <f t="shared" si="37"/>
        <v/>
      </c>
      <c r="BE44" s="149" t="str">
        <f t="shared" si="37"/>
        <v/>
      </c>
      <c r="BF44" s="149" t="str">
        <f t="shared" si="37"/>
        <v/>
      </c>
      <c r="BG44" s="149" t="str">
        <f t="shared" si="37"/>
        <v/>
      </c>
      <c r="BH44" s="144" t="str">
        <f t="shared" si="37"/>
        <v/>
      </c>
      <c r="BI44" s="144" t="str">
        <f t="shared" si="37"/>
        <v/>
      </c>
      <c r="BJ44" s="144" t="str">
        <f t="shared" si="37"/>
        <v/>
      </c>
      <c r="BK44" s="144" t="str">
        <f t="shared" si="37"/>
        <v/>
      </c>
      <c r="BL44" s="144" t="str">
        <f t="shared" si="37"/>
        <v/>
      </c>
      <c r="BM44" s="149" t="str">
        <f t="shared" si="37"/>
        <v/>
      </c>
      <c r="BN44" s="149" t="str">
        <f t="shared" si="37"/>
        <v/>
      </c>
      <c r="BO44" s="149" t="str">
        <f t="shared" si="37"/>
        <v/>
      </c>
      <c r="BP44" s="149" t="str">
        <f t="shared" si="37"/>
        <v/>
      </c>
      <c r="BQ44" s="149" t="str">
        <f t="shared" si="37"/>
        <v/>
      </c>
      <c r="BR44" s="150" t="str">
        <f t="shared" si="37"/>
        <v/>
      </c>
      <c r="BS44" s="150" t="str">
        <f t="shared" si="37"/>
        <v/>
      </c>
      <c r="BT44" s="150" t="str">
        <f t="shared" si="37"/>
        <v/>
      </c>
      <c r="BU44" s="150">
        <f t="shared" si="37"/>
        <v>2</v>
      </c>
      <c r="BV44" s="150">
        <f t="shared" si="37"/>
        <v>2</v>
      </c>
      <c r="BW44" s="144" t="str">
        <f t="shared" si="37"/>
        <v/>
      </c>
      <c r="BX44" s="144" t="str">
        <f t="shared" si="37"/>
        <v/>
      </c>
      <c r="BY44" s="144" t="str">
        <f t="shared" si="37"/>
        <v/>
      </c>
      <c r="BZ44" s="144" t="str">
        <f t="shared" si="37"/>
        <v/>
      </c>
      <c r="CA44" s="144" t="str">
        <f t="shared" si="37"/>
        <v/>
      </c>
      <c r="CB44" s="150" t="str">
        <f t="shared" si="37"/>
        <v/>
      </c>
      <c r="CC44" s="150" t="str">
        <f t="shared" si="37"/>
        <v/>
      </c>
      <c r="CD44" s="150" t="str">
        <f t="shared" si="37"/>
        <v/>
      </c>
      <c r="CE44" s="150" t="str">
        <f t="shared" si="37"/>
        <v/>
      </c>
      <c r="CF44" s="150" t="str">
        <f t="shared" si="37"/>
        <v/>
      </c>
      <c r="CG44" s="144" t="str">
        <f t="shared" si="37"/>
        <v/>
      </c>
      <c r="CH44" s="144" t="str">
        <f t="shared" si="37"/>
        <v/>
      </c>
      <c r="CI44" s="144" t="str">
        <f t="shared" si="37"/>
        <v/>
      </c>
      <c r="CJ44" s="144" t="str">
        <f t="shared" si="37"/>
        <v/>
      </c>
      <c r="CK44" s="144" t="str">
        <f t="shared" si="37"/>
        <v/>
      </c>
      <c r="CL44" s="151" t="str">
        <f t="shared" si="37"/>
        <v/>
      </c>
      <c r="CM44" s="151" t="str">
        <f t="shared" si="37"/>
        <v/>
      </c>
      <c r="CN44" s="151" t="str">
        <f t="shared" si="37"/>
        <v/>
      </c>
      <c r="CO44" s="151" t="str">
        <f t="shared" si="37"/>
        <v/>
      </c>
      <c r="CP44" s="151" t="str">
        <f t="shared" si="37"/>
        <v/>
      </c>
      <c r="CQ44" s="151" t="str">
        <f t="shared" si="37"/>
        <v/>
      </c>
      <c r="CR44" s="152" t="str">
        <f t="shared" si="37"/>
        <v/>
      </c>
      <c r="CS44" s="152" t="str">
        <f t="shared" si="37"/>
        <v/>
      </c>
      <c r="CT44" s="152" t="str">
        <f t="shared" si="37"/>
        <v/>
      </c>
      <c r="CU44" s="152" t="str">
        <f t="shared" si="37"/>
        <v/>
      </c>
    </row>
    <row r="45" ht="21.75" customHeight="1">
      <c r="B45" s="115" t="s">
        <v>99</v>
      </c>
      <c r="C45" s="117" t="s">
        <v>192</v>
      </c>
      <c r="D45" s="118" t="s">
        <v>66</v>
      </c>
      <c r="E45" s="119">
        <v>46335.0</v>
      </c>
      <c r="F45" s="119">
        <v>46346.0</v>
      </c>
      <c r="G45" s="120">
        <f t="shared" si="3"/>
        <v>10</v>
      </c>
      <c r="H45" s="121" t="s">
        <v>69</v>
      </c>
      <c r="I45" s="122">
        <v>0.0</v>
      </c>
      <c r="J45" s="123" t="str">
        <f t="shared" ref="J45:CU45" si="38">IF(AND(J$6&gt;=$E45,J$6&lt;=$F45),IF(NETWORKDAYS($E45,J$6)&lt;=ROUNDUP(NETWORKDAYS($E45,$F45)*$I45,0),2,1),"")</f>
        <v/>
      </c>
      <c r="K45" s="123" t="str">
        <f t="shared" si="38"/>
        <v/>
      </c>
      <c r="L45" s="123" t="str">
        <f t="shared" si="38"/>
        <v/>
      </c>
      <c r="M45" s="123" t="str">
        <f t="shared" si="38"/>
        <v/>
      </c>
      <c r="N45" s="123" t="str">
        <f t="shared" si="38"/>
        <v/>
      </c>
      <c r="O45" s="123" t="str">
        <f t="shared" si="38"/>
        <v/>
      </c>
      <c r="P45" s="123" t="str">
        <f t="shared" si="38"/>
        <v/>
      </c>
      <c r="Q45" s="123" t="str">
        <f t="shared" si="38"/>
        <v/>
      </c>
      <c r="R45" s="123" t="str">
        <f t="shared" si="38"/>
        <v/>
      </c>
      <c r="S45" s="123" t="str">
        <f t="shared" si="38"/>
        <v/>
      </c>
      <c r="T45" s="123" t="str">
        <f t="shared" si="38"/>
        <v/>
      </c>
      <c r="U45" s="123" t="str">
        <f t="shared" si="38"/>
        <v/>
      </c>
      <c r="V45" s="123" t="str">
        <f t="shared" si="38"/>
        <v/>
      </c>
      <c r="W45" s="123" t="str">
        <f t="shared" si="38"/>
        <v/>
      </c>
      <c r="X45" s="123" t="str">
        <f t="shared" si="38"/>
        <v/>
      </c>
      <c r="Y45" s="123" t="str">
        <f t="shared" si="38"/>
        <v/>
      </c>
      <c r="Z45" s="123" t="str">
        <f t="shared" si="38"/>
        <v/>
      </c>
      <c r="AA45" s="123" t="str">
        <f t="shared" si="38"/>
        <v/>
      </c>
      <c r="AB45" s="123" t="str">
        <f t="shared" si="38"/>
        <v/>
      </c>
      <c r="AC45" s="123" t="str">
        <f t="shared" si="38"/>
        <v/>
      </c>
      <c r="AD45" s="123" t="str">
        <f t="shared" si="38"/>
        <v/>
      </c>
      <c r="AE45" s="123" t="str">
        <f t="shared" si="38"/>
        <v/>
      </c>
      <c r="AF45" s="123" t="str">
        <f t="shared" si="38"/>
        <v/>
      </c>
      <c r="AG45" s="123" t="str">
        <f t="shared" si="38"/>
        <v/>
      </c>
      <c r="AH45" s="123" t="str">
        <f t="shared" si="38"/>
        <v/>
      </c>
      <c r="AI45" s="123" t="str">
        <f t="shared" si="38"/>
        <v/>
      </c>
      <c r="AJ45" s="123" t="str">
        <f t="shared" si="38"/>
        <v/>
      </c>
      <c r="AK45" s="123" t="str">
        <f t="shared" si="38"/>
        <v/>
      </c>
      <c r="AL45" s="123" t="str">
        <f t="shared" si="38"/>
        <v/>
      </c>
      <c r="AM45" s="123" t="str">
        <f t="shared" si="38"/>
        <v/>
      </c>
      <c r="AN45" s="123" t="str">
        <f t="shared" si="38"/>
        <v/>
      </c>
      <c r="AO45" s="123" t="str">
        <f t="shared" si="38"/>
        <v/>
      </c>
      <c r="AP45" s="123" t="str">
        <f t="shared" si="38"/>
        <v/>
      </c>
      <c r="AQ45" s="123" t="str">
        <f t="shared" si="38"/>
        <v/>
      </c>
      <c r="AR45" s="123" t="str">
        <f t="shared" si="38"/>
        <v/>
      </c>
      <c r="AS45" s="123" t="str">
        <f t="shared" si="38"/>
        <v/>
      </c>
      <c r="AT45" s="123" t="str">
        <f t="shared" si="38"/>
        <v/>
      </c>
      <c r="AU45" s="123" t="str">
        <f t="shared" si="38"/>
        <v/>
      </c>
      <c r="AV45" s="123" t="str">
        <f t="shared" si="38"/>
        <v/>
      </c>
      <c r="AW45" s="123" t="str">
        <f t="shared" si="38"/>
        <v/>
      </c>
      <c r="AX45" s="123" t="str">
        <f t="shared" si="38"/>
        <v/>
      </c>
      <c r="AY45" s="123" t="str">
        <f t="shared" si="38"/>
        <v/>
      </c>
      <c r="AZ45" s="123" t="str">
        <f t="shared" si="38"/>
        <v/>
      </c>
      <c r="BA45" s="123" t="str">
        <f t="shared" si="38"/>
        <v/>
      </c>
      <c r="BB45" s="123" t="str">
        <f t="shared" si="38"/>
        <v/>
      </c>
      <c r="BC45" s="123" t="str">
        <f t="shared" si="38"/>
        <v/>
      </c>
      <c r="BD45" s="123" t="str">
        <f t="shared" si="38"/>
        <v/>
      </c>
      <c r="BE45" s="123" t="str">
        <f t="shared" si="38"/>
        <v/>
      </c>
      <c r="BF45" s="123" t="str">
        <f t="shared" si="38"/>
        <v/>
      </c>
      <c r="BG45" s="123" t="str">
        <f t="shared" si="38"/>
        <v/>
      </c>
      <c r="BH45" s="123" t="str">
        <f t="shared" si="38"/>
        <v/>
      </c>
      <c r="BI45" s="123" t="str">
        <f t="shared" si="38"/>
        <v/>
      </c>
      <c r="BJ45" s="123" t="str">
        <f t="shared" si="38"/>
        <v/>
      </c>
      <c r="BK45" s="123" t="str">
        <f t="shared" si="38"/>
        <v/>
      </c>
      <c r="BL45" s="123" t="str">
        <f t="shared" si="38"/>
        <v/>
      </c>
      <c r="BM45" s="123" t="str">
        <f t="shared" si="38"/>
        <v/>
      </c>
      <c r="BN45" s="123" t="str">
        <f t="shared" si="38"/>
        <v/>
      </c>
      <c r="BO45" s="123" t="str">
        <f t="shared" si="38"/>
        <v/>
      </c>
      <c r="BP45" s="123" t="str">
        <f t="shared" si="38"/>
        <v/>
      </c>
      <c r="BQ45" s="123" t="str">
        <f t="shared" si="38"/>
        <v/>
      </c>
      <c r="BR45" s="123" t="str">
        <f t="shared" si="38"/>
        <v/>
      </c>
      <c r="BS45" s="123" t="str">
        <f t="shared" si="38"/>
        <v/>
      </c>
      <c r="BT45" s="123" t="str">
        <f t="shared" si="38"/>
        <v/>
      </c>
      <c r="BU45" s="123" t="str">
        <f t="shared" si="38"/>
        <v/>
      </c>
      <c r="BV45" s="123" t="str">
        <f t="shared" si="38"/>
        <v/>
      </c>
      <c r="BW45" s="123">
        <f t="shared" si="38"/>
        <v>1</v>
      </c>
      <c r="BX45" s="123">
        <f t="shared" si="38"/>
        <v>1</v>
      </c>
      <c r="BY45" s="123">
        <f t="shared" si="38"/>
        <v>1</v>
      </c>
      <c r="BZ45" s="123">
        <f t="shared" si="38"/>
        <v>1</v>
      </c>
      <c r="CA45" s="123">
        <f t="shared" si="38"/>
        <v>1</v>
      </c>
      <c r="CB45" s="123">
        <f t="shared" si="38"/>
        <v>1</v>
      </c>
      <c r="CC45" s="123">
        <f t="shared" si="38"/>
        <v>1</v>
      </c>
      <c r="CD45" s="123">
        <f t="shared" si="38"/>
        <v>1</v>
      </c>
      <c r="CE45" s="123">
        <f t="shared" si="38"/>
        <v>1</v>
      </c>
      <c r="CF45" s="123">
        <f t="shared" si="38"/>
        <v>1</v>
      </c>
      <c r="CG45" s="123" t="str">
        <f t="shared" si="38"/>
        <v/>
      </c>
      <c r="CH45" s="123" t="str">
        <f t="shared" si="38"/>
        <v/>
      </c>
      <c r="CI45" s="123" t="str">
        <f t="shared" si="38"/>
        <v/>
      </c>
      <c r="CJ45" s="123" t="str">
        <f t="shared" si="38"/>
        <v/>
      </c>
      <c r="CK45" s="123" t="str">
        <f t="shared" si="38"/>
        <v/>
      </c>
      <c r="CL45" s="123" t="str">
        <f t="shared" si="38"/>
        <v/>
      </c>
      <c r="CM45" s="123" t="str">
        <f t="shared" si="38"/>
        <v/>
      </c>
      <c r="CN45" s="123" t="str">
        <f t="shared" si="38"/>
        <v/>
      </c>
      <c r="CO45" s="123" t="str">
        <f t="shared" si="38"/>
        <v/>
      </c>
      <c r="CP45" s="123" t="str">
        <f t="shared" si="38"/>
        <v/>
      </c>
      <c r="CQ45" s="123" t="str">
        <f t="shared" si="38"/>
        <v/>
      </c>
      <c r="CR45" s="136" t="str">
        <f t="shared" si="38"/>
        <v/>
      </c>
      <c r="CS45" s="136" t="str">
        <f t="shared" si="38"/>
        <v/>
      </c>
      <c r="CT45" s="136" t="str">
        <f t="shared" si="38"/>
        <v/>
      </c>
      <c r="CU45" s="136" t="str">
        <f t="shared" si="38"/>
        <v/>
      </c>
    </row>
    <row r="46" ht="31.5" customHeight="1">
      <c r="B46" s="153" t="s">
        <v>101</v>
      </c>
      <c r="C46" s="154" t="s">
        <v>193</v>
      </c>
      <c r="D46" s="139" t="s">
        <v>108</v>
      </c>
      <c r="E46" s="140">
        <v>46335.0</v>
      </c>
      <c r="F46" s="140">
        <v>46337.0</v>
      </c>
      <c r="G46" s="141">
        <f t="shared" si="3"/>
        <v>3</v>
      </c>
      <c r="H46" s="142" t="s">
        <v>194</v>
      </c>
      <c r="I46" s="143">
        <v>0.0</v>
      </c>
      <c r="J46" s="144" t="str">
        <f t="shared" ref="J46:CU46" si="39">IF(AND(J$6&gt;=$E46,J$6&lt;=$F46),IF(NETWORKDAYS($E46,J$6)&lt;=ROUNDUP(NETWORKDAYS($E46,$F46)*$I46,0),2,1),"")</f>
        <v/>
      </c>
      <c r="K46" s="144" t="str">
        <f t="shared" si="39"/>
        <v/>
      </c>
      <c r="L46" s="144" t="str">
        <f t="shared" si="39"/>
        <v/>
      </c>
      <c r="M46" s="144" t="str">
        <f t="shared" si="39"/>
        <v/>
      </c>
      <c r="N46" s="144" t="str">
        <f t="shared" si="39"/>
        <v/>
      </c>
      <c r="O46" s="146" t="str">
        <f t="shared" si="39"/>
        <v/>
      </c>
      <c r="P46" s="146" t="str">
        <f t="shared" si="39"/>
        <v/>
      </c>
      <c r="Q46" s="146" t="str">
        <f t="shared" si="39"/>
        <v/>
      </c>
      <c r="R46" s="146" t="str">
        <f t="shared" si="39"/>
        <v/>
      </c>
      <c r="S46" s="146" t="str">
        <f t="shared" si="39"/>
        <v/>
      </c>
      <c r="T46" s="144" t="str">
        <f t="shared" si="39"/>
        <v/>
      </c>
      <c r="U46" s="144" t="str">
        <f t="shared" si="39"/>
        <v/>
      </c>
      <c r="V46" s="144" t="str">
        <f t="shared" si="39"/>
        <v/>
      </c>
      <c r="W46" s="144" t="str">
        <f t="shared" si="39"/>
        <v/>
      </c>
      <c r="X46" s="144" t="str">
        <f t="shared" si="39"/>
        <v/>
      </c>
      <c r="Y46" s="147" t="str">
        <f t="shared" si="39"/>
        <v/>
      </c>
      <c r="Z46" s="147" t="str">
        <f t="shared" si="39"/>
        <v/>
      </c>
      <c r="AA46" s="147" t="str">
        <f t="shared" si="39"/>
        <v/>
      </c>
      <c r="AB46" s="147" t="str">
        <f t="shared" si="39"/>
        <v/>
      </c>
      <c r="AC46" s="147" t="str">
        <f t="shared" si="39"/>
        <v/>
      </c>
      <c r="AD46" s="144" t="str">
        <f t="shared" si="39"/>
        <v/>
      </c>
      <c r="AE46" s="144" t="str">
        <f t="shared" si="39"/>
        <v/>
      </c>
      <c r="AF46" s="144" t="str">
        <f t="shared" si="39"/>
        <v/>
      </c>
      <c r="AG46" s="144" t="str">
        <f t="shared" si="39"/>
        <v/>
      </c>
      <c r="AH46" s="144" t="str">
        <f t="shared" si="39"/>
        <v/>
      </c>
      <c r="AI46" s="148" t="str">
        <f t="shared" si="39"/>
        <v/>
      </c>
      <c r="AJ46" s="148" t="str">
        <f t="shared" si="39"/>
        <v/>
      </c>
      <c r="AK46" s="148" t="str">
        <f t="shared" si="39"/>
        <v/>
      </c>
      <c r="AL46" s="148" t="str">
        <f t="shared" si="39"/>
        <v/>
      </c>
      <c r="AM46" s="148" t="str">
        <f t="shared" si="39"/>
        <v/>
      </c>
      <c r="AN46" s="144" t="str">
        <f t="shared" si="39"/>
        <v/>
      </c>
      <c r="AO46" s="144" t="str">
        <f t="shared" si="39"/>
        <v/>
      </c>
      <c r="AP46" s="144" t="str">
        <f t="shared" si="39"/>
        <v/>
      </c>
      <c r="AQ46" s="144" t="str">
        <f t="shared" si="39"/>
        <v/>
      </c>
      <c r="AR46" s="144" t="str">
        <f t="shared" si="39"/>
        <v/>
      </c>
      <c r="AS46" s="148" t="str">
        <f t="shared" si="39"/>
        <v/>
      </c>
      <c r="AT46" s="148" t="str">
        <f t="shared" si="39"/>
        <v/>
      </c>
      <c r="AU46" s="148" t="str">
        <f t="shared" si="39"/>
        <v/>
      </c>
      <c r="AV46" s="148" t="str">
        <f t="shared" si="39"/>
        <v/>
      </c>
      <c r="AW46" s="148" t="str">
        <f t="shared" si="39"/>
        <v/>
      </c>
      <c r="AX46" s="144" t="str">
        <f t="shared" si="39"/>
        <v/>
      </c>
      <c r="AY46" s="144" t="str">
        <f t="shared" si="39"/>
        <v/>
      </c>
      <c r="AZ46" s="144" t="str">
        <f t="shared" si="39"/>
        <v/>
      </c>
      <c r="BA46" s="144" t="str">
        <f t="shared" si="39"/>
        <v/>
      </c>
      <c r="BB46" s="144" t="str">
        <f t="shared" si="39"/>
        <v/>
      </c>
      <c r="BC46" s="149" t="str">
        <f t="shared" si="39"/>
        <v/>
      </c>
      <c r="BD46" s="149" t="str">
        <f t="shared" si="39"/>
        <v/>
      </c>
      <c r="BE46" s="149" t="str">
        <f t="shared" si="39"/>
        <v/>
      </c>
      <c r="BF46" s="149" t="str">
        <f t="shared" si="39"/>
        <v/>
      </c>
      <c r="BG46" s="149" t="str">
        <f t="shared" si="39"/>
        <v/>
      </c>
      <c r="BH46" s="144" t="str">
        <f t="shared" si="39"/>
        <v/>
      </c>
      <c r="BI46" s="144" t="str">
        <f t="shared" si="39"/>
        <v/>
      </c>
      <c r="BJ46" s="144" t="str">
        <f t="shared" si="39"/>
        <v/>
      </c>
      <c r="BK46" s="144" t="str">
        <f t="shared" si="39"/>
        <v/>
      </c>
      <c r="BL46" s="144" t="str">
        <f t="shared" si="39"/>
        <v/>
      </c>
      <c r="BM46" s="149" t="str">
        <f t="shared" si="39"/>
        <v/>
      </c>
      <c r="BN46" s="149" t="str">
        <f t="shared" si="39"/>
        <v/>
      </c>
      <c r="BO46" s="149" t="str">
        <f t="shared" si="39"/>
        <v/>
      </c>
      <c r="BP46" s="149" t="str">
        <f t="shared" si="39"/>
        <v/>
      </c>
      <c r="BQ46" s="149" t="str">
        <f t="shared" si="39"/>
        <v/>
      </c>
      <c r="BR46" s="150" t="str">
        <f t="shared" si="39"/>
        <v/>
      </c>
      <c r="BS46" s="150" t="str">
        <f t="shared" si="39"/>
        <v/>
      </c>
      <c r="BT46" s="150" t="str">
        <f t="shared" si="39"/>
        <v/>
      </c>
      <c r="BU46" s="150" t="str">
        <f t="shared" si="39"/>
        <v/>
      </c>
      <c r="BV46" s="150" t="str">
        <f t="shared" si="39"/>
        <v/>
      </c>
      <c r="BW46" s="144">
        <f t="shared" si="39"/>
        <v>1</v>
      </c>
      <c r="BX46" s="144">
        <f t="shared" si="39"/>
        <v>1</v>
      </c>
      <c r="BY46" s="144">
        <f t="shared" si="39"/>
        <v>1</v>
      </c>
      <c r="BZ46" s="144" t="str">
        <f t="shared" si="39"/>
        <v/>
      </c>
      <c r="CA46" s="144" t="str">
        <f t="shared" si="39"/>
        <v/>
      </c>
      <c r="CB46" s="150" t="str">
        <f t="shared" si="39"/>
        <v/>
      </c>
      <c r="CC46" s="150" t="str">
        <f t="shared" si="39"/>
        <v/>
      </c>
      <c r="CD46" s="150" t="str">
        <f t="shared" si="39"/>
        <v/>
      </c>
      <c r="CE46" s="150" t="str">
        <f t="shared" si="39"/>
        <v/>
      </c>
      <c r="CF46" s="150" t="str">
        <f t="shared" si="39"/>
        <v/>
      </c>
      <c r="CG46" s="144" t="str">
        <f t="shared" si="39"/>
        <v/>
      </c>
      <c r="CH46" s="144" t="str">
        <f t="shared" si="39"/>
        <v/>
      </c>
      <c r="CI46" s="144" t="str">
        <f t="shared" si="39"/>
        <v/>
      </c>
      <c r="CJ46" s="144" t="str">
        <f t="shared" si="39"/>
        <v/>
      </c>
      <c r="CK46" s="144" t="str">
        <f t="shared" si="39"/>
        <v/>
      </c>
      <c r="CL46" s="151" t="str">
        <f t="shared" si="39"/>
        <v/>
      </c>
      <c r="CM46" s="151" t="str">
        <f t="shared" si="39"/>
        <v/>
      </c>
      <c r="CN46" s="151" t="str">
        <f t="shared" si="39"/>
        <v/>
      </c>
      <c r="CO46" s="151" t="str">
        <f t="shared" si="39"/>
        <v/>
      </c>
      <c r="CP46" s="151" t="str">
        <f t="shared" si="39"/>
        <v/>
      </c>
      <c r="CQ46" s="151" t="str">
        <f t="shared" si="39"/>
        <v/>
      </c>
      <c r="CR46" s="152" t="str">
        <f t="shared" si="39"/>
        <v/>
      </c>
      <c r="CS46" s="152" t="str">
        <f t="shared" si="39"/>
        <v/>
      </c>
      <c r="CT46" s="152" t="str">
        <f t="shared" si="39"/>
        <v/>
      </c>
      <c r="CU46" s="152" t="str">
        <f t="shared" si="39"/>
        <v/>
      </c>
    </row>
    <row r="47" ht="31.5" customHeight="1">
      <c r="B47" s="153" t="s">
        <v>103</v>
      </c>
      <c r="C47" s="154" t="s">
        <v>195</v>
      </c>
      <c r="D47" s="139" t="s">
        <v>114</v>
      </c>
      <c r="E47" s="140">
        <v>46335.0</v>
      </c>
      <c r="F47" s="140">
        <v>46337.0</v>
      </c>
      <c r="G47" s="141">
        <f t="shared" si="3"/>
        <v>3</v>
      </c>
      <c r="H47" s="142" t="s">
        <v>196</v>
      </c>
      <c r="I47" s="143">
        <v>0.0</v>
      </c>
      <c r="J47" s="144" t="str">
        <f t="shared" ref="J47:CU47" si="40">IF(AND(J$6&gt;=$E47,J$6&lt;=$F47),IF(NETWORKDAYS($E47,J$6)&lt;=ROUNDUP(NETWORKDAYS($E47,$F47)*$I47,0),2,1),"")</f>
        <v/>
      </c>
      <c r="K47" s="144" t="str">
        <f t="shared" si="40"/>
        <v/>
      </c>
      <c r="L47" s="144" t="str">
        <f t="shared" si="40"/>
        <v/>
      </c>
      <c r="M47" s="144" t="str">
        <f t="shared" si="40"/>
        <v/>
      </c>
      <c r="N47" s="144" t="str">
        <f t="shared" si="40"/>
        <v/>
      </c>
      <c r="O47" s="146" t="str">
        <f t="shared" si="40"/>
        <v/>
      </c>
      <c r="P47" s="146" t="str">
        <f t="shared" si="40"/>
        <v/>
      </c>
      <c r="Q47" s="146" t="str">
        <f t="shared" si="40"/>
        <v/>
      </c>
      <c r="R47" s="146" t="str">
        <f t="shared" si="40"/>
        <v/>
      </c>
      <c r="S47" s="146" t="str">
        <f t="shared" si="40"/>
        <v/>
      </c>
      <c r="T47" s="144" t="str">
        <f t="shared" si="40"/>
        <v/>
      </c>
      <c r="U47" s="144" t="str">
        <f t="shared" si="40"/>
        <v/>
      </c>
      <c r="V47" s="144" t="str">
        <f t="shared" si="40"/>
        <v/>
      </c>
      <c r="W47" s="144" t="str">
        <f t="shared" si="40"/>
        <v/>
      </c>
      <c r="X47" s="144" t="str">
        <f t="shared" si="40"/>
        <v/>
      </c>
      <c r="Y47" s="147" t="str">
        <f t="shared" si="40"/>
        <v/>
      </c>
      <c r="Z47" s="147" t="str">
        <f t="shared" si="40"/>
        <v/>
      </c>
      <c r="AA47" s="147" t="str">
        <f t="shared" si="40"/>
        <v/>
      </c>
      <c r="AB47" s="147" t="str">
        <f t="shared" si="40"/>
        <v/>
      </c>
      <c r="AC47" s="147" t="str">
        <f t="shared" si="40"/>
        <v/>
      </c>
      <c r="AD47" s="144" t="str">
        <f t="shared" si="40"/>
        <v/>
      </c>
      <c r="AE47" s="144" t="str">
        <f t="shared" si="40"/>
        <v/>
      </c>
      <c r="AF47" s="144" t="str">
        <f t="shared" si="40"/>
        <v/>
      </c>
      <c r="AG47" s="144" t="str">
        <f t="shared" si="40"/>
        <v/>
      </c>
      <c r="AH47" s="144" t="str">
        <f t="shared" si="40"/>
        <v/>
      </c>
      <c r="AI47" s="148" t="str">
        <f t="shared" si="40"/>
        <v/>
      </c>
      <c r="AJ47" s="148" t="str">
        <f t="shared" si="40"/>
        <v/>
      </c>
      <c r="AK47" s="148" t="str">
        <f t="shared" si="40"/>
        <v/>
      </c>
      <c r="AL47" s="148" t="str">
        <f t="shared" si="40"/>
        <v/>
      </c>
      <c r="AM47" s="148" t="str">
        <f t="shared" si="40"/>
        <v/>
      </c>
      <c r="AN47" s="144" t="str">
        <f t="shared" si="40"/>
        <v/>
      </c>
      <c r="AO47" s="144" t="str">
        <f t="shared" si="40"/>
        <v/>
      </c>
      <c r="AP47" s="144" t="str">
        <f t="shared" si="40"/>
        <v/>
      </c>
      <c r="AQ47" s="144" t="str">
        <f t="shared" si="40"/>
        <v/>
      </c>
      <c r="AR47" s="144" t="str">
        <f t="shared" si="40"/>
        <v/>
      </c>
      <c r="AS47" s="148" t="str">
        <f t="shared" si="40"/>
        <v/>
      </c>
      <c r="AT47" s="148" t="str">
        <f t="shared" si="40"/>
        <v/>
      </c>
      <c r="AU47" s="148" t="str">
        <f t="shared" si="40"/>
        <v/>
      </c>
      <c r="AV47" s="148" t="str">
        <f t="shared" si="40"/>
        <v/>
      </c>
      <c r="AW47" s="148" t="str">
        <f t="shared" si="40"/>
        <v/>
      </c>
      <c r="AX47" s="144" t="str">
        <f t="shared" si="40"/>
        <v/>
      </c>
      <c r="AY47" s="144" t="str">
        <f t="shared" si="40"/>
        <v/>
      </c>
      <c r="AZ47" s="144" t="str">
        <f t="shared" si="40"/>
        <v/>
      </c>
      <c r="BA47" s="144" t="str">
        <f t="shared" si="40"/>
        <v/>
      </c>
      <c r="BB47" s="144" t="str">
        <f t="shared" si="40"/>
        <v/>
      </c>
      <c r="BC47" s="149" t="str">
        <f t="shared" si="40"/>
        <v/>
      </c>
      <c r="BD47" s="149" t="str">
        <f t="shared" si="40"/>
        <v/>
      </c>
      <c r="BE47" s="149" t="str">
        <f t="shared" si="40"/>
        <v/>
      </c>
      <c r="BF47" s="149" t="str">
        <f t="shared" si="40"/>
        <v/>
      </c>
      <c r="BG47" s="149" t="str">
        <f t="shared" si="40"/>
        <v/>
      </c>
      <c r="BH47" s="144" t="str">
        <f t="shared" si="40"/>
        <v/>
      </c>
      <c r="BI47" s="144" t="str">
        <f t="shared" si="40"/>
        <v/>
      </c>
      <c r="BJ47" s="144" t="str">
        <f t="shared" si="40"/>
        <v/>
      </c>
      <c r="BK47" s="144" t="str">
        <f t="shared" si="40"/>
        <v/>
      </c>
      <c r="BL47" s="144" t="str">
        <f t="shared" si="40"/>
        <v/>
      </c>
      <c r="BM47" s="149" t="str">
        <f t="shared" si="40"/>
        <v/>
      </c>
      <c r="BN47" s="149" t="str">
        <f t="shared" si="40"/>
        <v/>
      </c>
      <c r="BO47" s="149" t="str">
        <f t="shared" si="40"/>
        <v/>
      </c>
      <c r="BP47" s="149" t="str">
        <f t="shared" si="40"/>
        <v/>
      </c>
      <c r="BQ47" s="149" t="str">
        <f t="shared" si="40"/>
        <v/>
      </c>
      <c r="BR47" s="150" t="str">
        <f t="shared" si="40"/>
        <v/>
      </c>
      <c r="BS47" s="150" t="str">
        <f t="shared" si="40"/>
        <v/>
      </c>
      <c r="BT47" s="150" t="str">
        <f t="shared" si="40"/>
        <v/>
      </c>
      <c r="BU47" s="150" t="str">
        <f t="shared" si="40"/>
        <v/>
      </c>
      <c r="BV47" s="150" t="str">
        <f t="shared" si="40"/>
        <v/>
      </c>
      <c r="BW47" s="144">
        <f t="shared" si="40"/>
        <v>1</v>
      </c>
      <c r="BX47" s="144">
        <f t="shared" si="40"/>
        <v>1</v>
      </c>
      <c r="BY47" s="144">
        <f t="shared" si="40"/>
        <v>1</v>
      </c>
      <c r="BZ47" s="144" t="str">
        <f t="shared" si="40"/>
        <v/>
      </c>
      <c r="CA47" s="144" t="str">
        <f t="shared" si="40"/>
        <v/>
      </c>
      <c r="CB47" s="150" t="str">
        <f t="shared" si="40"/>
        <v/>
      </c>
      <c r="CC47" s="150" t="str">
        <f t="shared" si="40"/>
        <v/>
      </c>
      <c r="CD47" s="150" t="str">
        <f t="shared" si="40"/>
        <v/>
      </c>
      <c r="CE47" s="150" t="str">
        <f t="shared" si="40"/>
        <v/>
      </c>
      <c r="CF47" s="150" t="str">
        <f t="shared" si="40"/>
        <v/>
      </c>
      <c r="CG47" s="144" t="str">
        <f t="shared" si="40"/>
        <v/>
      </c>
      <c r="CH47" s="144" t="str">
        <f t="shared" si="40"/>
        <v/>
      </c>
      <c r="CI47" s="144" t="str">
        <f t="shared" si="40"/>
        <v/>
      </c>
      <c r="CJ47" s="144" t="str">
        <f t="shared" si="40"/>
        <v/>
      </c>
      <c r="CK47" s="144" t="str">
        <f t="shared" si="40"/>
        <v/>
      </c>
      <c r="CL47" s="151" t="str">
        <f t="shared" si="40"/>
        <v/>
      </c>
      <c r="CM47" s="151" t="str">
        <f t="shared" si="40"/>
        <v/>
      </c>
      <c r="CN47" s="151" t="str">
        <f t="shared" si="40"/>
        <v/>
      </c>
      <c r="CO47" s="151" t="str">
        <f t="shared" si="40"/>
        <v/>
      </c>
      <c r="CP47" s="151" t="str">
        <f t="shared" si="40"/>
        <v/>
      </c>
      <c r="CQ47" s="151" t="str">
        <f t="shared" si="40"/>
        <v/>
      </c>
      <c r="CR47" s="152" t="str">
        <f t="shared" si="40"/>
        <v/>
      </c>
      <c r="CS47" s="152" t="str">
        <f t="shared" si="40"/>
        <v/>
      </c>
      <c r="CT47" s="152" t="str">
        <f t="shared" si="40"/>
        <v/>
      </c>
      <c r="CU47" s="152" t="str">
        <f t="shared" si="40"/>
        <v/>
      </c>
    </row>
    <row r="48" ht="31.5" customHeight="1">
      <c r="B48" s="153" t="s">
        <v>106</v>
      </c>
      <c r="C48" s="154" t="s">
        <v>197</v>
      </c>
      <c r="D48" s="139" t="s">
        <v>108</v>
      </c>
      <c r="E48" s="140">
        <v>46338.0</v>
      </c>
      <c r="F48" s="140">
        <v>46339.0</v>
      </c>
      <c r="G48" s="141">
        <f t="shared" si="3"/>
        <v>2</v>
      </c>
      <c r="H48" s="142" t="s">
        <v>198</v>
      </c>
      <c r="I48" s="143">
        <v>0.0</v>
      </c>
      <c r="J48" s="144" t="str">
        <f t="shared" ref="J48:CU48" si="41">IF(AND(J$6&gt;=$E48,J$6&lt;=$F48),IF(NETWORKDAYS($E48,J$6)&lt;=ROUNDUP(NETWORKDAYS($E48,$F48)*$I48,0),2,1),"")</f>
        <v/>
      </c>
      <c r="K48" s="144" t="str">
        <f t="shared" si="41"/>
        <v/>
      </c>
      <c r="L48" s="144" t="str">
        <f t="shared" si="41"/>
        <v/>
      </c>
      <c r="M48" s="144" t="str">
        <f t="shared" si="41"/>
        <v/>
      </c>
      <c r="N48" s="144" t="str">
        <f t="shared" si="41"/>
        <v/>
      </c>
      <c r="O48" s="146" t="str">
        <f t="shared" si="41"/>
        <v/>
      </c>
      <c r="P48" s="146" t="str">
        <f t="shared" si="41"/>
        <v/>
      </c>
      <c r="Q48" s="146" t="str">
        <f t="shared" si="41"/>
        <v/>
      </c>
      <c r="R48" s="146" t="str">
        <f t="shared" si="41"/>
        <v/>
      </c>
      <c r="S48" s="146" t="str">
        <f t="shared" si="41"/>
        <v/>
      </c>
      <c r="T48" s="144" t="str">
        <f t="shared" si="41"/>
        <v/>
      </c>
      <c r="U48" s="144" t="str">
        <f t="shared" si="41"/>
        <v/>
      </c>
      <c r="V48" s="144" t="str">
        <f t="shared" si="41"/>
        <v/>
      </c>
      <c r="W48" s="144" t="str">
        <f t="shared" si="41"/>
        <v/>
      </c>
      <c r="X48" s="144" t="str">
        <f t="shared" si="41"/>
        <v/>
      </c>
      <c r="Y48" s="147" t="str">
        <f t="shared" si="41"/>
        <v/>
      </c>
      <c r="Z48" s="147" t="str">
        <f t="shared" si="41"/>
        <v/>
      </c>
      <c r="AA48" s="147" t="str">
        <f t="shared" si="41"/>
        <v/>
      </c>
      <c r="AB48" s="147" t="str">
        <f t="shared" si="41"/>
        <v/>
      </c>
      <c r="AC48" s="147" t="str">
        <f t="shared" si="41"/>
        <v/>
      </c>
      <c r="AD48" s="144" t="str">
        <f t="shared" si="41"/>
        <v/>
      </c>
      <c r="AE48" s="144" t="str">
        <f t="shared" si="41"/>
        <v/>
      </c>
      <c r="AF48" s="144" t="str">
        <f t="shared" si="41"/>
        <v/>
      </c>
      <c r="AG48" s="144" t="str">
        <f t="shared" si="41"/>
        <v/>
      </c>
      <c r="AH48" s="144" t="str">
        <f t="shared" si="41"/>
        <v/>
      </c>
      <c r="AI48" s="148" t="str">
        <f t="shared" si="41"/>
        <v/>
      </c>
      <c r="AJ48" s="148" t="str">
        <f t="shared" si="41"/>
        <v/>
      </c>
      <c r="AK48" s="148" t="str">
        <f t="shared" si="41"/>
        <v/>
      </c>
      <c r="AL48" s="148" t="str">
        <f t="shared" si="41"/>
        <v/>
      </c>
      <c r="AM48" s="148" t="str">
        <f t="shared" si="41"/>
        <v/>
      </c>
      <c r="AN48" s="144" t="str">
        <f t="shared" si="41"/>
        <v/>
      </c>
      <c r="AO48" s="144" t="str">
        <f t="shared" si="41"/>
        <v/>
      </c>
      <c r="AP48" s="144" t="str">
        <f t="shared" si="41"/>
        <v/>
      </c>
      <c r="AQ48" s="144" t="str">
        <f t="shared" si="41"/>
        <v/>
      </c>
      <c r="AR48" s="144" t="str">
        <f t="shared" si="41"/>
        <v/>
      </c>
      <c r="AS48" s="148" t="str">
        <f t="shared" si="41"/>
        <v/>
      </c>
      <c r="AT48" s="148" t="str">
        <f t="shared" si="41"/>
        <v/>
      </c>
      <c r="AU48" s="148" t="str">
        <f t="shared" si="41"/>
        <v/>
      </c>
      <c r="AV48" s="148" t="str">
        <f t="shared" si="41"/>
        <v/>
      </c>
      <c r="AW48" s="148" t="str">
        <f t="shared" si="41"/>
        <v/>
      </c>
      <c r="AX48" s="144" t="str">
        <f t="shared" si="41"/>
        <v/>
      </c>
      <c r="AY48" s="144" t="str">
        <f t="shared" si="41"/>
        <v/>
      </c>
      <c r="AZ48" s="144" t="str">
        <f t="shared" si="41"/>
        <v/>
      </c>
      <c r="BA48" s="144" t="str">
        <f t="shared" si="41"/>
        <v/>
      </c>
      <c r="BB48" s="144" t="str">
        <f t="shared" si="41"/>
        <v/>
      </c>
      <c r="BC48" s="149" t="str">
        <f t="shared" si="41"/>
        <v/>
      </c>
      <c r="BD48" s="149" t="str">
        <f t="shared" si="41"/>
        <v/>
      </c>
      <c r="BE48" s="149" t="str">
        <f t="shared" si="41"/>
        <v/>
      </c>
      <c r="BF48" s="149" t="str">
        <f t="shared" si="41"/>
        <v/>
      </c>
      <c r="BG48" s="149" t="str">
        <f t="shared" si="41"/>
        <v/>
      </c>
      <c r="BH48" s="144" t="str">
        <f t="shared" si="41"/>
        <v/>
      </c>
      <c r="BI48" s="144" t="str">
        <f t="shared" si="41"/>
        <v/>
      </c>
      <c r="BJ48" s="144" t="str">
        <f t="shared" si="41"/>
        <v/>
      </c>
      <c r="BK48" s="144" t="str">
        <f t="shared" si="41"/>
        <v/>
      </c>
      <c r="BL48" s="144" t="str">
        <f t="shared" si="41"/>
        <v/>
      </c>
      <c r="BM48" s="149" t="str">
        <f t="shared" si="41"/>
        <v/>
      </c>
      <c r="BN48" s="149" t="str">
        <f t="shared" si="41"/>
        <v/>
      </c>
      <c r="BO48" s="149" t="str">
        <f t="shared" si="41"/>
        <v/>
      </c>
      <c r="BP48" s="149" t="str">
        <f t="shared" si="41"/>
        <v/>
      </c>
      <c r="BQ48" s="149" t="str">
        <f t="shared" si="41"/>
        <v/>
      </c>
      <c r="BR48" s="150" t="str">
        <f t="shared" si="41"/>
        <v/>
      </c>
      <c r="BS48" s="150" t="str">
        <f t="shared" si="41"/>
        <v/>
      </c>
      <c r="BT48" s="150" t="str">
        <f t="shared" si="41"/>
        <v/>
      </c>
      <c r="BU48" s="150" t="str">
        <f t="shared" si="41"/>
        <v/>
      </c>
      <c r="BV48" s="150" t="str">
        <f t="shared" si="41"/>
        <v/>
      </c>
      <c r="BW48" s="144" t="str">
        <f t="shared" si="41"/>
        <v/>
      </c>
      <c r="BX48" s="144" t="str">
        <f t="shared" si="41"/>
        <v/>
      </c>
      <c r="BY48" s="144" t="str">
        <f t="shared" si="41"/>
        <v/>
      </c>
      <c r="BZ48" s="144">
        <f t="shared" si="41"/>
        <v>1</v>
      </c>
      <c r="CA48" s="144">
        <f t="shared" si="41"/>
        <v>1</v>
      </c>
      <c r="CB48" s="150" t="str">
        <f t="shared" si="41"/>
        <v/>
      </c>
      <c r="CC48" s="150" t="str">
        <f t="shared" si="41"/>
        <v/>
      </c>
      <c r="CD48" s="150" t="str">
        <f t="shared" si="41"/>
        <v/>
      </c>
      <c r="CE48" s="150" t="str">
        <f t="shared" si="41"/>
        <v/>
      </c>
      <c r="CF48" s="150" t="str">
        <f t="shared" si="41"/>
        <v/>
      </c>
      <c r="CG48" s="144" t="str">
        <f t="shared" si="41"/>
        <v/>
      </c>
      <c r="CH48" s="144" t="str">
        <f t="shared" si="41"/>
        <v/>
      </c>
      <c r="CI48" s="144" t="str">
        <f t="shared" si="41"/>
        <v/>
      </c>
      <c r="CJ48" s="144" t="str">
        <f t="shared" si="41"/>
        <v/>
      </c>
      <c r="CK48" s="144" t="str">
        <f t="shared" si="41"/>
        <v/>
      </c>
      <c r="CL48" s="151" t="str">
        <f t="shared" si="41"/>
        <v/>
      </c>
      <c r="CM48" s="151" t="str">
        <f t="shared" si="41"/>
        <v/>
      </c>
      <c r="CN48" s="151" t="str">
        <f t="shared" si="41"/>
        <v/>
      </c>
      <c r="CO48" s="151" t="str">
        <f t="shared" si="41"/>
        <v/>
      </c>
      <c r="CP48" s="151" t="str">
        <f t="shared" si="41"/>
        <v/>
      </c>
      <c r="CQ48" s="151" t="str">
        <f t="shared" si="41"/>
        <v/>
      </c>
      <c r="CR48" s="152" t="str">
        <f t="shared" si="41"/>
        <v/>
      </c>
      <c r="CS48" s="152" t="str">
        <f t="shared" si="41"/>
        <v/>
      </c>
      <c r="CT48" s="152" t="str">
        <f t="shared" si="41"/>
        <v/>
      </c>
      <c r="CU48" s="152" t="str">
        <f t="shared" si="41"/>
        <v/>
      </c>
    </row>
    <row r="49" ht="31.5" customHeight="1">
      <c r="B49" s="153" t="s">
        <v>109</v>
      </c>
      <c r="C49" s="154" t="s">
        <v>199</v>
      </c>
      <c r="D49" s="139" t="s">
        <v>108</v>
      </c>
      <c r="E49" s="140">
        <v>46342.0</v>
      </c>
      <c r="F49" s="140">
        <v>46343.0</v>
      </c>
      <c r="G49" s="141">
        <f t="shared" si="3"/>
        <v>2</v>
      </c>
      <c r="H49" s="142" t="s">
        <v>200</v>
      </c>
      <c r="I49" s="143">
        <v>0.0</v>
      </c>
      <c r="J49" s="144" t="str">
        <f t="shared" ref="J49:CU49" si="42">IF(AND(J$6&gt;=$E49,J$6&lt;=$F49),IF(NETWORKDAYS($E49,J$6)&lt;=ROUNDUP(NETWORKDAYS($E49,$F49)*$I49,0),2,1),"")</f>
        <v/>
      </c>
      <c r="K49" s="144" t="str">
        <f t="shared" si="42"/>
        <v/>
      </c>
      <c r="L49" s="144" t="str">
        <f t="shared" si="42"/>
        <v/>
      </c>
      <c r="M49" s="144" t="str">
        <f t="shared" si="42"/>
        <v/>
      </c>
      <c r="N49" s="144" t="str">
        <f t="shared" si="42"/>
        <v/>
      </c>
      <c r="O49" s="146" t="str">
        <f t="shared" si="42"/>
        <v/>
      </c>
      <c r="P49" s="146" t="str">
        <f t="shared" si="42"/>
        <v/>
      </c>
      <c r="Q49" s="146" t="str">
        <f t="shared" si="42"/>
        <v/>
      </c>
      <c r="R49" s="146" t="str">
        <f t="shared" si="42"/>
        <v/>
      </c>
      <c r="S49" s="146" t="str">
        <f t="shared" si="42"/>
        <v/>
      </c>
      <c r="T49" s="144" t="str">
        <f t="shared" si="42"/>
        <v/>
      </c>
      <c r="U49" s="144" t="str">
        <f t="shared" si="42"/>
        <v/>
      </c>
      <c r="V49" s="144" t="str">
        <f t="shared" si="42"/>
        <v/>
      </c>
      <c r="W49" s="144" t="str">
        <f t="shared" si="42"/>
        <v/>
      </c>
      <c r="X49" s="144" t="str">
        <f t="shared" si="42"/>
        <v/>
      </c>
      <c r="Y49" s="147" t="str">
        <f t="shared" si="42"/>
        <v/>
      </c>
      <c r="Z49" s="147" t="str">
        <f t="shared" si="42"/>
        <v/>
      </c>
      <c r="AA49" s="147" t="str">
        <f t="shared" si="42"/>
        <v/>
      </c>
      <c r="AB49" s="147" t="str">
        <f t="shared" si="42"/>
        <v/>
      </c>
      <c r="AC49" s="147" t="str">
        <f t="shared" si="42"/>
        <v/>
      </c>
      <c r="AD49" s="144" t="str">
        <f t="shared" si="42"/>
        <v/>
      </c>
      <c r="AE49" s="144" t="str">
        <f t="shared" si="42"/>
        <v/>
      </c>
      <c r="AF49" s="144" t="str">
        <f t="shared" si="42"/>
        <v/>
      </c>
      <c r="AG49" s="144" t="str">
        <f t="shared" si="42"/>
        <v/>
      </c>
      <c r="AH49" s="144" t="str">
        <f t="shared" si="42"/>
        <v/>
      </c>
      <c r="AI49" s="148" t="str">
        <f t="shared" si="42"/>
        <v/>
      </c>
      <c r="AJ49" s="148" t="str">
        <f t="shared" si="42"/>
        <v/>
      </c>
      <c r="AK49" s="148" t="str">
        <f t="shared" si="42"/>
        <v/>
      </c>
      <c r="AL49" s="148" t="str">
        <f t="shared" si="42"/>
        <v/>
      </c>
      <c r="AM49" s="148" t="str">
        <f t="shared" si="42"/>
        <v/>
      </c>
      <c r="AN49" s="144" t="str">
        <f t="shared" si="42"/>
        <v/>
      </c>
      <c r="AO49" s="144" t="str">
        <f t="shared" si="42"/>
        <v/>
      </c>
      <c r="AP49" s="144" t="str">
        <f t="shared" si="42"/>
        <v/>
      </c>
      <c r="AQ49" s="144" t="str">
        <f t="shared" si="42"/>
        <v/>
      </c>
      <c r="AR49" s="144" t="str">
        <f t="shared" si="42"/>
        <v/>
      </c>
      <c r="AS49" s="148" t="str">
        <f t="shared" si="42"/>
        <v/>
      </c>
      <c r="AT49" s="148" t="str">
        <f t="shared" si="42"/>
        <v/>
      </c>
      <c r="AU49" s="148" t="str">
        <f t="shared" si="42"/>
        <v/>
      </c>
      <c r="AV49" s="148" t="str">
        <f t="shared" si="42"/>
        <v/>
      </c>
      <c r="AW49" s="148" t="str">
        <f t="shared" si="42"/>
        <v/>
      </c>
      <c r="AX49" s="144" t="str">
        <f t="shared" si="42"/>
        <v/>
      </c>
      <c r="AY49" s="144" t="str">
        <f t="shared" si="42"/>
        <v/>
      </c>
      <c r="AZ49" s="144" t="str">
        <f t="shared" si="42"/>
        <v/>
      </c>
      <c r="BA49" s="144" t="str">
        <f t="shared" si="42"/>
        <v/>
      </c>
      <c r="BB49" s="144" t="str">
        <f t="shared" si="42"/>
        <v/>
      </c>
      <c r="BC49" s="149" t="str">
        <f t="shared" si="42"/>
        <v/>
      </c>
      <c r="BD49" s="149" t="str">
        <f t="shared" si="42"/>
        <v/>
      </c>
      <c r="BE49" s="149" t="str">
        <f t="shared" si="42"/>
        <v/>
      </c>
      <c r="BF49" s="149" t="str">
        <f t="shared" si="42"/>
        <v/>
      </c>
      <c r="BG49" s="149" t="str">
        <f t="shared" si="42"/>
        <v/>
      </c>
      <c r="BH49" s="144" t="str">
        <f t="shared" si="42"/>
        <v/>
      </c>
      <c r="BI49" s="144" t="str">
        <f t="shared" si="42"/>
        <v/>
      </c>
      <c r="BJ49" s="144" t="str">
        <f t="shared" si="42"/>
        <v/>
      </c>
      <c r="BK49" s="144" t="str">
        <f t="shared" si="42"/>
        <v/>
      </c>
      <c r="BL49" s="144" t="str">
        <f t="shared" si="42"/>
        <v/>
      </c>
      <c r="BM49" s="149" t="str">
        <f t="shared" si="42"/>
        <v/>
      </c>
      <c r="BN49" s="149" t="str">
        <f t="shared" si="42"/>
        <v/>
      </c>
      <c r="BO49" s="149" t="str">
        <f t="shared" si="42"/>
        <v/>
      </c>
      <c r="BP49" s="149" t="str">
        <f t="shared" si="42"/>
        <v/>
      </c>
      <c r="BQ49" s="149" t="str">
        <f t="shared" si="42"/>
        <v/>
      </c>
      <c r="BR49" s="150" t="str">
        <f t="shared" si="42"/>
        <v/>
      </c>
      <c r="BS49" s="150" t="str">
        <f t="shared" si="42"/>
        <v/>
      </c>
      <c r="BT49" s="150" t="str">
        <f t="shared" si="42"/>
        <v/>
      </c>
      <c r="BU49" s="150" t="str">
        <f t="shared" si="42"/>
        <v/>
      </c>
      <c r="BV49" s="150" t="str">
        <f t="shared" si="42"/>
        <v/>
      </c>
      <c r="BW49" s="144" t="str">
        <f t="shared" si="42"/>
        <v/>
      </c>
      <c r="BX49" s="144" t="str">
        <f t="shared" si="42"/>
        <v/>
      </c>
      <c r="BY49" s="144" t="str">
        <f t="shared" si="42"/>
        <v/>
      </c>
      <c r="BZ49" s="144" t="str">
        <f t="shared" si="42"/>
        <v/>
      </c>
      <c r="CA49" s="144" t="str">
        <f t="shared" si="42"/>
        <v/>
      </c>
      <c r="CB49" s="150">
        <f t="shared" si="42"/>
        <v>1</v>
      </c>
      <c r="CC49" s="150">
        <f t="shared" si="42"/>
        <v>1</v>
      </c>
      <c r="CD49" s="150" t="str">
        <f t="shared" si="42"/>
        <v/>
      </c>
      <c r="CE49" s="150" t="str">
        <f t="shared" si="42"/>
        <v/>
      </c>
      <c r="CF49" s="150" t="str">
        <f t="shared" si="42"/>
        <v/>
      </c>
      <c r="CG49" s="144" t="str">
        <f t="shared" si="42"/>
        <v/>
      </c>
      <c r="CH49" s="144" t="str">
        <f t="shared" si="42"/>
        <v/>
      </c>
      <c r="CI49" s="144" t="str">
        <f t="shared" si="42"/>
        <v/>
      </c>
      <c r="CJ49" s="144" t="str">
        <f t="shared" si="42"/>
        <v/>
      </c>
      <c r="CK49" s="144" t="str">
        <f t="shared" si="42"/>
        <v/>
      </c>
      <c r="CL49" s="151" t="str">
        <f t="shared" si="42"/>
        <v/>
      </c>
      <c r="CM49" s="151" t="str">
        <f t="shared" si="42"/>
        <v/>
      </c>
      <c r="CN49" s="151" t="str">
        <f t="shared" si="42"/>
        <v/>
      </c>
      <c r="CO49" s="151" t="str">
        <f t="shared" si="42"/>
        <v/>
      </c>
      <c r="CP49" s="151" t="str">
        <f t="shared" si="42"/>
        <v/>
      </c>
      <c r="CQ49" s="151" t="str">
        <f t="shared" si="42"/>
        <v/>
      </c>
      <c r="CR49" s="152" t="str">
        <f t="shared" si="42"/>
        <v/>
      </c>
      <c r="CS49" s="152" t="str">
        <f t="shared" si="42"/>
        <v/>
      </c>
      <c r="CT49" s="152" t="str">
        <f t="shared" si="42"/>
        <v/>
      </c>
      <c r="CU49" s="152" t="str">
        <f t="shared" si="42"/>
        <v/>
      </c>
    </row>
    <row r="50" ht="31.5" customHeight="1">
      <c r="B50" s="162" t="s">
        <v>201</v>
      </c>
      <c r="C50" s="154" t="s">
        <v>202</v>
      </c>
      <c r="D50" s="139" t="s">
        <v>66</v>
      </c>
      <c r="E50" s="140">
        <v>46344.0</v>
      </c>
      <c r="F50" s="140">
        <v>46345.0</v>
      </c>
      <c r="G50" s="141">
        <f t="shared" si="3"/>
        <v>2</v>
      </c>
      <c r="H50" s="163" t="s">
        <v>203</v>
      </c>
      <c r="I50" s="143">
        <v>0.0</v>
      </c>
      <c r="J50" s="164" t="str">
        <f t="shared" ref="J50:CU50" si="43">IF(AND(J$6&gt;=$E50,J$6&lt;=$F50),IF(NETWORKDAYS($E50,J$6)&lt;=ROUNDUP(NETWORKDAYS($E50,$F50)*$I50,0),2,1),"")</f>
        <v/>
      </c>
      <c r="K50" s="164" t="str">
        <f t="shared" si="43"/>
        <v/>
      </c>
      <c r="L50" s="164" t="str">
        <f t="shared" si="43"/>
        <v/>
      </c>
      <c r="M50" s="164" t="str">
        <f t="shared" si="43"/>
        <v/>
      </c>
      <c r="N50" s="164" t="str">
        <f t="shared" si="43"/>
        <v/>
      </c>
      <c r="O50" s="165" t="str">
        <f t="shared" si="43"/>
        <v/>
      </c>
      <c r="P50" s="165" t="str">
        <f t="shared" si="43"/>
        <v/>
      </c>
      <c r="Q50" s="165" t="str">
        <f t="shared" si="43"/>
        <v/>
      </c>
      <c r="R50" s="165" t="str">
        <f t="shared" si="43"/>
        <v/>
      </c>
      <c r="S50" s="165" t="str">
        <f t="shared" si="43"/>
        <v/>
      </c>
      <c r="T50" s="164" t="str">
        <f t="shared" si="43"/>
        <v/>
      </c>
      <c r="U50" s="164" t="str">
        <f t="shared" si="43"/>
        <v/>
      </c>
      <c r="V50" s="164" t="str">
        <f t="shared" si="43"/>
        <v/>
      </c>
      <c r="W50" s="164" t="str">
        <f t="shared" si="43"/>
        <v/>
      </c>
      <c r="X50" s="164" t="str">
        <f t="shared" si="43"/>
        <v/>
      </c>
      <c r="Y50" s="166" t="str">
        <f t="shared" si="43"/>
        <v/>
      </c>
      <c r="Z50" s="166" t="str">
        <f t="shared" si="43"/>
        <v/>
      </c>
      <c r="AA50" s="166" t="str">
        <f t="shared" si="43"/>
        <v/>
      </c>
      <c r="AB50" s="166" t="str">
        <f t="shared" si="43"/>
        <v/>
      </c>
      <c r="AC50" s="166" t="str">
        <f t="shared" si="43"/>
        <v/>
      </c>
      <c r="AD50" s="164" t="str">
        <f t="shared" si="43"/>
        <v/>
      </c>
      <c r="AE50" s="164" t="str">
        <f t="shared" si="43"/>
        <v/>
      </c>
      <c r="AF50" s="164" t="str">
        <f t="shared" si="43"/>
        <v/>
      </c>
      <c r="AG50" s="164" t="str">
        <f t="shared" si="43"/>
        <v/>
      </c>
      <c r="AH50" s="164" t="str">
        <f t="shared" si="43"/>
        <v/>
      </c>
      <c r="AI50" s="167" t="str">
        <f t="shared" si="43"/>
        <v/>
      </c>
      <c r="AJ50" s="167" t="str">
        <f t="shared" si="43"/>
        <v/>
      </c>
      <c r="AK50" s="167" t="str">
        <f t="shared" si="43"/>
        <v/>
      </c>
      <c r="AL50" s="167" t="str">
        <f t="shared" si="43"/>
        <v/>
      </c>
      <c r="AM50" s="167" t="str">
        <f t="shared" si="43"/>
        <v/>
      </c>
      <c r="AN50" s="164" t="str">
        <f t="shared" si="43"/>
        <v/>
      </c>
      <c r="AO50" s="164" t="str">
        <f t="shared" si="43"/>
        <v/>
      </c>
      <c r="AP50" s="164" t="str">
        <f t="shared" si="43"/>
        <v/>
      </c>
      <c r="AQ50" s="164" t="str">
        <f t="shared" si="43"/>
        <v/>
      </c>
      <c r="AR50" s="164" t="str">
        <f t="shared" si="43"/>
        <v/>
      </c>
      <c r="AS50" s="167" t="str">
        <f t="shared" si="43"/>
        <v/>
      </c>
      <c r="AT50" s="167" t="str">
        <f t="shared" si="43"/>
        <v/>
      </c>
      <c r="AU50" s="167" t="str">
        <f t="shared" si="43"/>
        <v/>
      </c>
      <c r="AV50" s="167" t="str">
        <f t="shared" si="43"/>
        <v/>
      </c>
      <c r="AW50" s="167" t="str">
        <f t="shared" si="43"/>
        <v/>
      </c>
      <c r="AX50" s="164" t="str">
        <f t="shared" si="43"/>
        <v/>
      </c>
      <c r="AY50" s="164" t="str">
        <f t="shared" si="43"/>
        <v/>
      </c>
      <c r="AZ50" s="164" t="str">
        <f t="shared" si="43"/>
        <v/>
      </c>
      <c r="BA50" s="164" t="str">
        <f t="shared" si="43"/>
        <v/>
      </c>
      <c r="BB50" s="164" t="str">
        <f t="shared" si="43"/>
        <v/>
      </c>
      <c r="BC50" s="168" t="str">
        <f t="shared" si="43"/>
        <v/>
      </c>
      <c r="BD50" s="168" t="str">
        <f t="shared" si="43"/>
        <v/>
      </c>
      <c r="BE50" s="168" t="str">
        <f t="shared" si="43"/>
        <v/>
      </c>
      <c r="BF50" s="168" t="str">
        <f t="shared" si="43"/>
        <v/>
      </c>
      <c r="BG50" s="168" t="str">
        <f t="shared" si="43"/>
        <v/>
      </c>
      <c r="BH50" s="164" t="str">
        <f t="shared" si="43"/>
        <v/>
      </c>
      <c r="BI50" s="164" t="str">
        <f t="shared" si="43"/>
        <v/>
      </c>
      <c r="BJ50" s="164" t="str">
        <f t="shared" si="43"/>
        <v/>
      </c>
      <c r="BK50" s="164" t="str">
        <f t="shared" si="43"/>
        <v/>
      </c>
      <c r="BL50" s="164" t="str">
        <f t="shared" si="43"/>
        <v/>
      </c>
      <c r="BM50" s="168" t="str">
        <f t="shared" si="43"/>
        <v/>
      </c>
      <c r="BN50" s="168" t="str">
        <f t="shared" si="43"/>
        <v/>
      </c>
      <c r="BO50" s="168" t="str">
        <f t="shared" si="43"/>
        <v/>
      </c>
      <c r="BP50" s="168" t="str">
        <f t="shared" si="43"/>
        <v/>
      </c>
      <c r="BQ50" s="168" t="str">
        <f t="shared" si="43"/>
        <v/>
      </c>
      <c r="BR50" s="169" t="str">
        <f t="shared" si="43"/>
        <v/>
      </c>
      <c r="BS50" s="169" t="str">
        <f t="shared" si="43"/>
        <v/>
      </c>
      <c r="BT50" s="169" t="str">
        <f t="shared" si="43"/>
        <v/>
      </c>
      <c r="BU50" s="169" t="str">
        <f t="shared" si="43"/>
        <v/>
      </c>
      <c r="BV50" s="169" t="str">
        <f t="shared" si="43"/>
        <v/>
      </c>
      <c r="BW50" s="164" t="str">
        <f t="shared" si="43"/>
        <v/>
      </c>
      <c r="BX50" s="164" t="str">
        <f t="shared" si="43"/>
        <v/>
      </c>
      <c r="BY50" s="164" t="str">
        <f t="shared" si="43"/>
        <v/>
      </c>
      <c r="BZ50" s="164" t="str">
        <f t="shared" si="43"/>
        <v/>
      </c>
      <c r="CA50" s="164" t="str">
        <f t="shared" si="43"/>
        <v/>
      </c>
      <c r="CB50" s="169" t="str">
        <f t="shared" si="43"/>
        <v/>
      </c>
      <c r="CC50" s="169" t="str">
        <f t="shared" si="43"/>
        <v/>
      </c>
      <c r="CD50" s="169">
        <f t="shared" si="43"/>
        <v>1</v>
      </c>
      <c r="CE50" s="169">
        <f t="shared" si="43"/>
        <v>1</v>
      </c>
      <c r="CF50" s="169" t="str">
        <f t="shared" si="43"/>
        <v/>
      </c>
      <c r="CG50" s="164" t="str">
        <f t="shared" si="43"/>
        <v/>
      </c>
      <c r="CH50" s="164" t="str">
        <f t="shared" si="43"/>
        <v/>
      </c>
      <c r="CI50" s="164" t="str">
        <f t="shared" si="43"/>
        <v/>
      </c>
      <c r="CJ50" s="164" t="str">
        <f t="shared" si="43"/>
        <v/>
      </c>
      <c r="CK50" s="164" t="str">
        <f t="shared" si="43"/>
        <v/>
      </c>
      <c r="CL50" s="152" t="str">
        <f t="shared" si="43"/>
        <v/>
      </c>
      <c r="CM50" s="152" t="str">
        <f t="shared" si="43"/>
        <v/>
      </c>
      <c r="CN50" s="152" t="str">
        <f t="shared" si="43"/>
        <v/>
      </c>
      <c r="CO50" s="152" t="str">
        <f t="shared" si="43"/>
        <v/>
      </c>
      <c r="CP50" s="152" t="str">
        <f t="shared" si="43"/>
        <v/>
      </c>
      <c r="CQ50" s="152" t="str">
        <f t="shared" si="43"/>
        <v/>
      </c>
      <c r="CR50" s="152" t="str">
        <f t="shared" si="43"/>
        <v/>
      </c>
      <c r="CS50" s="152" t="str">
        <f t="shared" si="43"/>
        <v/>
      </c>
      <c r="CT50" s="152" t="str">
        <f t="shared" si="43"/>
        <v/>
      </c>
      <c r="CU50" s="152" t="str">
        <f t="shared" si="43"/>
        <v/>
      </c>
    </row>
    <row r="51" ht="31.5" customHeight="1">
      <c r="B51" s="162" t="s">
        <v>204</v>
      </c>
      <c r="C51" s="154" t="s">
        <v>205</v>
      </c>
      <c r="D51" s="139" t="s">
        <v>66</v>
      </c>
      <c r="E51" s="140">
        <v>46346.0</v>
      </c>
      <c r="F51" s="140">
        <v>46346.0</v>
      </c>
      <c r="G51" s="141">
        <f t="shared" si="3"/>
        <v>1</v>
      </c>
      <c r="H51" s="163" t="s">
        <v>206</v>
      </c>
      <c r="I51" s="143">
        <v>0.0</v>
      </c>
      <c r="J51" s="164" t="str">
        <f t="shared" ref="J51:CU51" si="44">IF(AND(J$6&gt;=$E51,J$6&lt;=$F51),IF(NETWORKDAYS($E51,J$6)&lt;=ROUNDUP(NETWORKDAYS($E51,$F51)*$I51,0),2,1),"")</f>
        <v/>
      </c>
      <c r="K51" s="164" t="str">
        <f t="shared" si="44"/>
        <v/>
      </c>
      <c r="L51" s="164" t="str">
        <f t="shared" si="44"/>
        <v/>
      </c>
      <c r="M51" s="164" t="str">
        <f t="shared" si="44"/>
        <v/>
      </c>
      <c r="N51" s="164" t="str">
        <f t="shared" si="44"/>
        <v/>
      </c>
      <c r="O51" s="165" t="str">
        <f t="shared" si="44"/>
        <v/>
      </c>
      <c r="P51" s="165" t="str">
        <f t="shared" si="44"/>
        <v/>
      </c>
      <c r="Q51" s="165" t="str">
        <f t="shared" si="44"/>
        <v/>
      </c>
      <c r="R51" s="165" t="str">
        <f t="shared" si="44"/>
        <v/>
      </c>
      <c r="S51" s="165" t="str">
        <f t="shared" si="44"/>
        <v/>
      </c>
      <c r="T51" s="164" t="str">
        <f t="shared" si="44"/>
        <v/>
      </c>
      <c r="U51" s="164" t="str">
        <f t="shared" si="44"/>
        <v/>
      </c>
      <c r="V51" s="164" t="str">
        <f t="shared" si="44"/>
        <v/>
      </c>
      <c r="W51" s="164" t="str">
        <f t="shared" si="44"/>
        <v/>
      </c>
      <c r="X51" s="164" t="str">
        <f t="shared" si="44"/>
        <v/>
      </c>
      <c r="Y51" s="166" t="str">
        <f t="shared" si="44"/>
        <v/>
      </c>
      <c r="Z51" s="166" t="str">
        <f t="shared" si="44"/>
        <v/>
      </c>
      <c r="AA51" s="166" t="str">
        <f t="shared" si="44"/>
        <v/>
      </c>
      <c r="AB51" s="166" t="str">
        <f t="shared" si="44"/>
        <v/>
      </c>
      <c r="AC51" s="166" t="str">
        <f t="shared" si="44"/>
        <v/>
      </c>
      <c r="AD51" s="164" t="str">
        <f t="shared" si="44"/>
        <v/>
      </c>
      <c r="AE51" s="164" t="str">
        <f t="shared" si="44"/>
        <v/>
      </c>
      <c r="AF51" s="164" t="str">
        <f t="shared" si="44"/>
        <v/>
      </c>
      <c r="AG51" s="164" t="str">
        <f t="shared" si="44"/>
        <v/>
      </c>
      <c r="AH51" s="164" t="str">
        <f t="shared" si="44"/>
        <v/>
      </c>
      <c r="AI51" s="167" t="str">
        <f t="shared" si="44"/>
        <v/>
      </c>
      <c r="AJ51" s="167" t="str">
        <f t="shared" si="44"/>
        <v/>
      </c>
      <c r="AK51" s="167" t="str">
        <f t="shared" si="44"/>
        <v/>
      </c>
      <c r="AL51" s="167" t="str">
        <f t="shared" si="44"/>
        <v/>
      </c>
      <c r="AM51" s="167" t="str">
        <f t="shared" si="44"/>
        <v/>
      </c>
      <c r="AN51" s="164" t="str">
        <f t="shared" si="44"/>
        <v/>
      </c>
      <c r="AO51" s="164" t="str">
        <f t="shared" si="44"/>
        <v/>
      </c>
      <c r="AP51" s="164" t="str">
        <f t="shared" si="44"/>
        <v/>
      </c>
      <c r="AQ51" s="164" t="str">
        <f t="shared" si="44"/>
        <v/>
      </c>
      <c r="AR51" s="164" t="str">
        <f t="shared" si="44"/>
        <v/>
      </c>
      <c r="AS51" s="167" t="str">
        <f t="shared" si="44"/>
        <v/>
      </c>
      <c r="AT51" s="167" t="str">
        <f t="shared" si="44"/>
        <v/>
      </c>
      <c r="AU51" s="167" t="str">
        <f t="shared" si="44"/>
        <v/>
      </c>
      <c r="AV51" s="167" t="str">
        <f t="shared" si="44"/>
        <v/>
      </c>
      <c r="AW51" s="167" t="str">
        <f t="shared" si="44"/>
        <v/>
      </c>
      <c r="AX51" s="164" t="str">
        <f t="shared" si="44"/>
        <v/>
      </c>
      <c r="AY51" s="164" t="str">
        <f t="shared" si="44"/>
        <v/>
      </c>
      <c r="AZ51" s="164" t="str">
        <f t="shared" si="44"/>
        <v/>
      </c>
      <c r="BA51" s="164" t="str">
        <f t="shared" si="44"/>
        <v/>
      </c>
      <c r="BB51" s="164" t="str">
        <f t="shared" si="44"/>
        <v/>
      </c>
      <c r="BC51" s="168" t="str">
        <f t="shared" si="44"/>
        <v/>
      </c>
      <c r="BD51" s="168" t="str">
        <f t="shared" si="44"/>
        <v/>
      </c>
      <c r="BE51" s="168" t="str">
        <f t="shared" si="44"/>
        <v/>
      </c>
      <c r="BF51" s="168" t="str">
        <f t="shared" si="44"/>
        <v/>
      </c>
      <c r="BG51" s="168" t="str">
        <f t="shared" si="44"/>
        <v/>
      </c>
      <c r="BH51" s="164" t="str">
        <f t="shared" si="44"/>
        <v/>
      </c>
      <c r="BI51" s="164" t="str">
        <f t="shared" si="44"/>
        <v/>
      </c>
      <c r="BJ51" s="164" t="str">
        <f t="shared" si="44"/>
        <v/>
      </c>
      <c r="BK51" s="164" t="str">
        <f t="shared" si="44"/>
        <v/>
      </c>
      <c r="BL51" s="164" t="str">
        <f t="shared" si="44"/>
        <v/>
      </c>
      <c r="BM51" s="168" t="str">
        <f t="shared" si="44"/>
        <v/>
      </c>
      <c r="BN51" s="168" t="str">
        <f t="shared" si="44"/>
        <v/>
      </c>
      <c r="BO51" s="168" t="str">
        <f t="shared" si="44"/>
        <v/>
      </c>
      <c r="BP51" s="168" t="str">
        <f t="shared" si="44"/>
        <v/>
      </c>
      <c r="BQ51" s="168" t="str">
        <f t="shared" si="44"/>
        <v/>
      </c>
      <c r="BR51" s="169" t="str">
        <f t="shared" si="44"/>
        <v/>
      </c>
      <c r="BS51" s="169" t="str">
        <f t="shared" si="44"/>
        <v/>
      </c>
      <c r="BT51" s="169" t="str">
        <f t="shared" si="44"/>
        <v/>
      </c>
      <c r="BU51" s="169" t="str">
        <f t="shared" si="44"/>
        <v/>
      </c>
      <c r="BV51" s="169" t="str">
        <f t="shared" si="44"/>
        <v/>
      </c>
      <c r="BW51" s="164" t="str">
        <f t="shared" si="44"/>
        <v/>
      </c>
      <c r="BX51" s="164" t="str">
        <f t="shared" si="44"/>
        <v/>
      </c>
      <c r="BY51" s="164" t="str">
        <f t="shared" si="44"/>
        <v/>
      </c>
      <c r="BZ51" s="164" t="str">
        <f t="shared" si="44"/>
        <v/>
      </c>
      <c r="CA51" s="164" t="str">
        <f t="shared" si="44"/>
        <v/>
      </c>
      <c r="CB51" s="169" t="str">
        <f t="shared" si="44"/>
        <v/>
      </c>
      <c r="CC51" s="169" t="str">
        <f t="shared" si="44"/>
        <v/>
      </c>
      <c r="CD51" s="169" t="str">
        <f t="shared" si="44"/>
        <v/>
      </c>
      <c r="CE51" s="169" t="str">
        <f t="shared" si="44"/>
        <v/>
      </c>
      <c r="CF51" s="169">
        <f t="shared" si="44"/>
        <v>1</v>
      </c>
      <c r="CG51" s="164" t="str">
        <f t="shared" si="44"/>
        <v/>
      </c>
      <c r="CH51" s="164" t="str">
        <f t="shared" si="44"/>
        <v/>
      </c>
      <c r="CI51" s="164" t="str">
        <f t="shared" si="44"/>
        <v/>
      </c>
      <c r="CJ51" s="164" t="str">
        <f t="shared" si="44"/>
        <v/>
      </c>
      <c r="CK51" s="164" t="str">
        <f t="shared" si="44"/>
        <v/>
      </c>
      <c r="CL51" s="152" t="str">
        <f t="shared" si="44"/>
        <v/>
      </c>
      <c r="CM51" s="152" t="str">
        <f t="shared" si="44"/>
        <v/>
      </c>
      <c r="CN51" s="152" t="str">
        <f t="shared" si="44"/>
        <v/>
      </c>
      <c r="CO51" s="152" t="str">
        <f t="shared" si="44"/>
        <v/>
      </c>
      <c r="CP51" s="152" t="str">
        <f t="shared" si="44"/>
        <v/>
      </c>
      <c r="CQ51" s="152" t="str">
        <f t="shared" si="44"/>
        <v/>
      </c>
      <c r="CR51" s="152" t="str">
        <f t="shared" si="44"/>
        <v/>
      </c>
      <c r="CS51" s="152" t="str">
        <f t="shared" si="44"/>
        <v/>
      </c>
      <c r="CT51" s="152" t="str">
        <f t="shared" si="44"/>
        <v/>
      </c>
      <c r="CU51" s="152" t="str">
        <f t="shared" si="44"/>
        <v/>
      </c>
    </row>
    <row r="52" ht="21.75" customHeight="1">
      <c r="B52" s="170" t="s">
        <v>207</v>
      </c>
      <c r="C52" s="117" t="s">
        <v>208</v>
      </c>
      <c r="D52" s="118" t="s">
        <v>66</v>
      </c>
      <c r="E52" s="119">
        <v>46349.0</v>
      </c>
      <c r="F52" s="119">
        <v>46367.0</v>
      </c>
      <c r="G52" s="120">
        <f t="shared" si="3"/>
        <v>15</v>
      </c>
      <c r="H52" s="171" t="s">
        <v>69</v>
      </c>
      <c r="I52" s="122">
        <v>0.0</v>
      </c>
      <c r="J52" s="136" t="str">
        <f t="shared" ref="J52:CU52" si="45">IF(AND(J$6&gt;=$E52,J$6&lt;=$F52),IF(NETWORKDAYS($E52,J$6)&lt;=ROUNDUP(NETWORKDAYS($E52,$F52)*$I52,0),2,1),"")</f>
        <v/>
      </c>
      <c r="K52" s="136" t="str">
        <f t="shared" si="45"/>
        <v/>
      </c>
      <c r="L52" s="136" t="str">
        <f t="shared" si="45"/>
        <v/>
      </c>
      <c r="M52" s="136" t="str">
        <f t="shared" si="45"/>
        <v/>
      </c>
      <c r="N52" s="136" t="str">
        <f t="shared" si="45"/>
        <v/>
      </c>
      <c r="O52" s="136" t="str">
        <f t="shared" si="45"/>
        <v/>
      </c>
      <c r="P52" s="136" t="str">
        <f t="shared" si="45"/>
        <v/>
      </c>
      <c r="Q52" s="136" t="str">
        <f t="shared" si="45"/>
        <v/>
      </c>
      <c r="R52" s="136" t="str">
        <f t="shared" si="45"/>
        <v/>
      </c>
      <c r="S52" s="136" t="str">
        <f t="shared" si="45"/>
        <v/>
      </c>
      <c r="T52" s="136" t="str">
        <f t="shared" si="45"/>
        <v/>
      </c>
      <c r="U52" s="136" t="str">
        <f t="shared" si="45"/>
        <v/>
      </c>
      <c r="V52" s="136" t="str">
        <f t="shared" si="45"/>
        <v/>
      </c>
      <c r="W52" s="136" t="str">
        <f t="shared" si="45"/>
        <v/>
      </c>
      <c r="X52" s="136" t="str">
        <f t="shared" si="45"/>
        <v/>
      </c>
      <c r="Y52" s="136" t="str">
        <f t="shared" si="45"/>
        <v/>
      </c>
      <c r="Z52" s="136" t="str">
        <f t="shared" si="45"/>
        <v/>
      </c>
      <c r="AA52" s="136" t="str">
        <f t="shared" si="45"/>
        <v/>
      </c>
      <c r="AB52" s="136" t="str">
        <f t="shared" si="45"/>
        <v/>
      </c>
      <c r="AC52" s="136" t="str">
        <f t="shared" si="45"/>
        <v/>
      </c>
      <c r="AD52" s="136" t="str">
        <f t="shared" si="45"/>
        <v/>
      </c>
      <c r="AE52" s="136" t="str">
        <f t="shared" si="45"/>
        <v/>
      </c>
      <c r="AF52" s="136" t="str">
        <f t="shared" si="45"/>
        <v/>
      </c>
      <c r="AG52" s="136" t="str">
        <f t="shared" si="45"/>
        <v/>
      </c>
      <c r="AH52" s="136" t="str">
        <f t="shared" si="45"/>
        <v/>
      </c>
      <c r="AI52" s="136" t="str">
        <f t="shared" si="45"/>
        <v/>
      </c>
      <c r="AJ52" s="136" t="str">
        <f t="shared" si="45"/>
        <v/>
      </c>
      <c r="AK52" s="136" t="str">
        <f t="shared" si="45"/>
        <v/>
      </c>
      <c r="AL52" s="136" t="str">
        <f t="shared" si="45"/>
        <v/>
      </c>
      <c r="AM52" s="136" t="str">
        <f t="shared" si="45"/>
        <v/>
      </c>
      <c r="AN52" s="136" t="str">
        <f t="shared" si="45"/>
        <v/>
      </c>
      <c r="AO52" s="136" t="str">
        <f t="shared" si="45"/>
        <v/>
      </c>
      <c r="AP52" s="136" t="str">
        <f t="shared" si="45"/>
        <v/>
      </c>
      <c r="AQ52" s="136" t="str">
        <f t="shared" si="45"/>
        <v/>
      </c>
      <c r="AR52" s="136" t="str">
        <f t="shared" si="45"/>
        <v/>
      </c>
      <c r="AS52" s="136" t="str">
        <f t="shared" si="45"/>
        <v/>
      </c>
      <c r="AT52" s="136" t="str">
        <f t="shared" si="45"/>
        <v/>
      </c>
      <c r="AU52" s="136" t="str">
        <f t="shared" si="45"/>
        <v/>
      </c>
      <c r="AV52" s="136" t="str">
        <f t="shared" si="45"/>
        <v/>
      </c>
      <c r="AW52" s="136" t="str">
        <f t="shared" si="45"/>
        <v/>
      </c>
      <c r="AX52" s="136" t="str">
        <f t="shared" si="45"/>
        <v/>
      </c>
      <c r="AY52" s="136" t="str">
        <f t="shared" si="45"/>
        <v/>
      </c>
      <c r="AZ52" s="136" t="str">
        <f t="shared" si="45"/>
        <v/>
      </c>
      <c r="BA52" s="136" t="str">
        <f t="shared" si="45"/>
        <v/>
      </c>
      <c r="BB52" s="136" t="str">
        <f t="shared" si="45"/>
        <v/>
      </c>
      <c r="BC52" s="136" t="str">
        <f t="shared" si="45"/>
        <v/>
      </c>
      <c r="BD52" s="136" t="str">
        <f t="shared" si="45"/>
        <v/>
      </c>
      <c r="BE52" s="136" t="str">
        <f t="shared" si="45"/>
        <v/>
      </c>
      <c r="BF52" s="136" t="str">
        <f t="shared" si="45"/>
        <v/>
      </c>
      <c r="BG52" s="136" t="str">
        <f t="shared" si="45"/>
        <v/>
      </c>
      <c r="BH52" s="136" t="str">
        <f t="shared" si="45"/>
        <v/>
      </c>
      <c r="BI52" s="136" t="str">
        <f t="shared" si="45"/>
        <v/>
      </c>
      <c r="BJ52" s="136" t="str">
        <f t="shared" si="45"/>
        <v/>
      </c>
      <c r="BK52" s="136" t="str">
        <f t="shared" si="45"/>
        <v/>
      </c>
      <c r="BL52" s="136" t="str">
        <f t="shared" si="45"/>
        <v/>
      </c>
      <c r="BM52" s="136" t="str">
        <f t="shared" si="45"/>
        <v/>
      </c>
      <c r="BN52" s="136" t="str">
        <f t="shared" si="45"/>
        <v/>
      </c>
      <c r="BO52" s="136" t="str">
        <f t="shared" si="45"/>
        <v/>
      </c>
      <c r="BP52" s="136" t="str">
        <f t="shared" si="45"/>
        <v/>
      </c>
      <c r="BQ52" s="136" t="str">
        <f t="shared" si="45"/>
        <v/>
      </c>
      <c r="BR52" s="136" t="str">
        <f t="shared" si="45"/>
        <v/>
      </c>
      <c r="BS52" s="136" t="str">
        <f t="shared" si="45"/>
        <v/>
      </c>
      <c r="BT52" s="136" t="str">
        <f t="shared" si="45"/>
        <v/>
      </c>
      <c r="BU52" s="136" t="str">
        <f t="shared" si="45"/>
        <v/>
      </c>
      <c r="BV52" s="136" t="str">
        <f t="shared" si="45"/>
        <v/>
      </c>
      <c r="BW52" s="136" t="str">
        <f t="shared" si="45"/>
        <v/>
      </c>
      <c r="BX52" s="136" t="str">
        <f t="shared" si="45"/>
        <v/>
      </c>
      <c r="BY52" s="136" t="str">
        <f t="shared" si="45"/>
        <v/>
      </c>
      <c r="BZ52" s="136" t="str">
        <f t="shared" si="45"/>
        <v/>
      </c>
      <c r="CA52" s="136" t="str">
        <f t="shared" si="45"/>
        <v/>
      </c>
      <c r="CB52" s="136" t="str">
        <f t="shared" si="45"/>
        <v/>
      </c>
      <c r="CC52" s="136" t="str">
        <f t="shared" si="45"/>
        <v/>
      </c>
      <c r="CD52" s="136" t="str">
        <f t="shared" si="45"/>
        <v/>
      </c>
      <c r="CE52" s="136" t="str">
        <f t="shared" si="45"/>
        <v/>
      </c>
      <c r="CF52" s="136" t="str">
        <f t="shared" si="45"/>
        <v/>
      </c>
      <c r="CG52" s="136">
        <f t="shared" si="45"/>
        <v>1</v>
      </c>
      <c r="CH52" s="136">
        <f t="shared" si="45"/>
        <v>1</v>
      </c>
      <c r="CI52" s="136">
        <f t="shared" si="45"/>
        <v>1</v>
      </c>
      <c r="CJ52" s="136">
        <f t="shared" si="45"/>
        <v>1</v>
      </c>
      <c r="CK52" s="136">
        <f t="shared" si="45"/>
        <v>1</v>
      </c>
      <c r="CL52" s="136">
        <f t="shared" si="45"/>
        <v>1</v>
      </c>
      <c r="CM52" s="136">
        <f t="shared" si="45"/>
        <v>1</v>
      </c>
      <c r="CN52" s="136">
        <f t="shared" si="45"/>
        <v>1</v>
      </c>
      <c r="CO52" s="136">
        <f t="shared" si="45"/>
        <v>1</v>
      </c>
      <c r="CP52" s="136">
        <f t="shared" si="45"/>
        <v>1</v>
      </c>
      <c r="CQ52" s="136">
        <f t="shared" si="45"/>
        <v>1</v>
      </c>
      <c r="CR52" s="136">
        <f t="shared" si="45"/>
        <v>1</v>
      </c>
      <c r="CS52" s="136">
        <f t="shared" si="45"/>
        <v>1</v>
      </c>
      <c r="CT52" s="136">
        <f t="shared" si="45"/>
        <v>1</v>
      </c>
      <c r="CU52" s="136">
        <f t="shared" si="45"/>
        <v>1</v>
      </c>
    </row>
    <row r="53" ht="31.5" customHeight="1">
      <c r="B53" s="162" t="s">
        <v>209</v>
      </c>
      <c r="C53" s="154" t="s">
        <v>210</v>
      </c>
      <c r="D53" s="139" t="s">
        <v>114</v>
      </c>
      <c r="E53" s="140">
        <v>46349.0</v>
      </c>
      <c r="F53" s="140">
        <v>46353.0</v>
      </c>
      <c r="G53" s="141">
        <f t="shared" si="3"/>
        <v>5</v>
      </c>
      <c r="H53" s="163" t="s">
        <v>211</v>
      </c>
      <c r="I53" s="143">
        <v>0.0</v>
      </c>
      <c r="J53" s="164" t="str">
        <f t="shared" ref="J53:CU53" si="46">IF(AND(J$6&gt;=$E53,J$6&lt;=$F53),IF(NETWORKDAYS($E53,J$6)&lt;=ROUNDUP(NETWORKDAYS($E53,$F53)*$I53,0),2,1),"")</f>
        <v/>
      </c>
      <c r="K53" s="164" t="str">
        <f t="shared" si="46"/>
        <v/>
      </c>
      <c r="L53" s="164" t="str">
        <f t="shared" si="46"/>
        <v/>
      </c>
      <c r="M53" s="164" t="str">
        <f t="shared" si="46"/>
        <v/>
      </c>
      <c r="N53" s="164" t="str">
        <f t="shared" si="46"/>
        <v/>
      </c>
      <c r="O53" s="165" t="str">
        <f t="shared" si="46"/>
        <v/>
      </c>
      <c r="P53" s="165" t="str">
        <f t="shared" si="46"/>
        <v/>
      </c>
      <c r="Q53" s="165" t="str">
        <f t="shared" si="46"/>
        <v/>
      </c>
      <c r="R53" s="165" t="str">
        <f t="shared" si="46"/>
        <v/>
      </c>
      <c r="S53" s="165" t="str">
        <f t="shared" si="46"/>
        <v/>
      </c>
      <c r="T53" s="164" t="str">
        <f t="shared" si="46"/>
        <v/>
      </c>
      <c r="U53" s="164" t="str">
        <f t="shared" si="46"/>
        <v/>
      </c>
      <c r="V53" s="164" t="str">
        <f t="shared" si="46"/>
        <v/>
      </c>
      <c r="W53" s="164" t="str">
        <f t="shared" si="46"/>
        <v/>
      </c>
      <c r="X53" s="164" t="str">
        <f t="shared" si="46"/>
        <v/>
      </c>
      <c r="Y53" s="166" t="str">
        <f t="shared" si="46"/>
        <v/>
      </c>
      <c r="Z53" s="166" t="str">
        <f t="shared" si="46"/>
        <v/>
      </c>
      <c r="AA53" s="166" t="str">
        <f t="shared" si="46"/>
        <v/>
      </c>
      <c r="AB53" s="166" t="str">
        <f t="shared" si="46"/>
        <v/>
      </c>
      <c r="AC53" s="166" t="str">
        <f t="shared" si="46"/>
        <v/>
      </c>
      <c r="AD53" s="164" t="str">
        <f t="shared" si="46"/>
        <v/>
      </c>
      <c r="AE53" s="164" t="str">
        <f t="shared" si="46"/>
        <v/>
      </c>
      <c r="AF53" s="164" t="str">
        <f t="shared" si="46"/>
        <v/>
      </c>
      <c r="AG53" s="164" t="str">
        <f t="shared" si="46"/>
        <v/>
      </c>
      <c r="AH53" s="164" t="str">
        <f t="shared" si="46"/>
        <v/>
      </c>
      <c r="AI53" s="167" t="str">
        <f t="shared" si="46"/>
        <v/>
      </c>
      <c r="AJ53" s="167" t="str">
        <f t="shared" si="46"/>
        <v/>
      </c>
      <c r="AK53" s="167" t="str">
        <f t="shared" si="46"/>
        <v/>
      </c>
      <c r="AL53" s="167" t="str">
        <f t="shared" si="46"/>
        <v/>
      </c>
      <c r="AM53" s="167" t="str">
        <f t="shared" si="46"/>
        <v/>
      </c>
      <c r="AN53" s="164" t="str">
        <f t="shared" si="46"/>
        <v/>
      </c>
      <c r="AO53" s="164" t="str">
        <f t="shared" si="46"/>
        <v/>
      </c>
      <c r="AP53" s="164" t="str">
        <f t="shared" si="46"/>
        <v/>
      </c>
      <c r="AQ53" s="164" t="str">
        <f t="shared" si="46"/>
        <v/>
      </c>
      <c r="AR53" s="164" t="str">
        <f t="shared" si="46"/>
        <v/>
      </c>
      <c r="AS53" s="167" t="str">
        <f t="shared" si="46"/>
        <v/>
      </c>
      <c r="AT53" s="167" t="str">
        <f t="shared" si="46"/>
        <v/>
      </c>
      <c r="AU53" s="167" t="str">
        <f t="shared" si="46"/>
        <v/>
      </c>
      <c r="AV53" s="167" t="str">
        <f t="shared" si="46"/>
        <v/>
      </c>
      <c r="AW53" s="167" t="str">
        <f t="shared" si="46"/>
        <v/>
      </c>
      <c r="AX53" s="164" t="str">
        <f t="shared" si="46"/>
        <v/>
      </c>
      <c r="AY53" s="164" t="str">
        <f t="shared" si="46"/>
        <v/>
      </c>
      <c r="AZ53" s="164" t="str">
        <f t="shared" si="46"/>
        <v/>
      </c>
      <c r="BA53" s="164" t="str">
        <f t="shared" si="46"/>
        <v/>
      </c>
      <c r="BB53" s="164" t="str">
        <f t="shared" si="46"/>
        <v/>
      </c>
      <c r="BC53" s="168" t="str">
        <f t="shared" si="46"/>
        <v/>
      </c>
      <c r="BD53" s="168" t="str">
        <f t="shared" si="46"/>
        <v/>
      </c>
      <c r="BE53" s="168" t="str">
        <f t="shared" si="46"/>
        <v/>
      </c>
      <c r="BF53" s="168" t="str">
        <f t="shared" si="46"/>
        <v/>
      </c>
      <c r="BG53" s="168" t="str">
        <f t="shared" si="46"/>
        <v/>
      </c>
      <c r="BH53" s="164" t="str">
        <f t="shared" si="46"/>
        <v/>
      </c>
      <c r="BI53" s="164" t="str">
        <f t="shared" si="46"/>
        <v/>
      </c>
      <c r="BJ53" s="164" t="str">
        <f t="shared" si="46"/>
        <v/>
      </c>
      <c r="BK53" s="164" t="str">
        <f t="shared" si="46"/>
        <v/>
      </c>
      <c r="BL53" s="164" t="str">
        <f t="shared" si="46"/>
        <v/>
      </c>
      <c r="BM53" s="168" t="str">
        <f t="shared" si="46"/>
        <v/>
      </c>
      <c r="BN53" s="168" t="str">
        <f t="shared" si="46"/>
        <v/>
      </c>
      <c r="BO53" s="168" t="str">
        <f t="shared" si="46"/>
        <v/>
      </c>
      <c r="BP53" s="168" t="str">
        <f t="shared" si="46"/>
        <v/>
      </c>
      <c r="BQ53" s="168" t="str">
        <f t="shared" si="46"/>
        <v/>
      </c>
      <c r="BR53" s="169" t="str">
        <f t="shared" si="46"/>
        <v/>
      </c>
      <c r="BS53" s="169" t="str">
        <f t="shared" si="46"/>
        <v/>
      </c>
      <c r="BT53" s="169" t="str">
        <f t="shared" si="46"/>
        <v/>
      </c>
      <c r="BU53" s="169" t="str">
        <f t="shared" si="46"/>
        <v/>
      </c>
      <c r="BV53" s="169" t="str">
        <f t="shared" si="46"/>
        <v/>
      </c>
      <c r="BW53" s="164" t="str">
        <f t="shared" si="46"/>
        <v/>
      </c>
      <c r="BX53" s="164" t="str">
        <f t="shared" si="46"/>
        <v/>
      </c>
      <c r="BY53" s="164" t="str">
        <f t="shared" si="46"/>
        <v/>
      </c>
      <c r="BZ53" s="164" t="str">
        <f t="shared" si="46"/>
        <v/>
      </c>
      <c r="CA53" s="164" t="str">
        <f t="shared" si="46"/>
        <v/>
      </c>
      <c r="CB53" s="169" t="str">
        <f t="shared" si="46"/>
        <v/>
      </c>
      <c r="CC53" s="169" t="str">
        <f t="shared" si="46"/>
        <v/>
      </c>
      <c r="CD53" s="169" t="str">
        <f t="shared" si="46"/>
        <v/>
      </c>
      <c r="CE53" s="169" t="str">
        <f t="shared" si="46"/>
        <v/>
      </c>
      <c r="CF53" s="169" t="str">
        <f t="shared" si="46"/>
        <v/>
      </c>
      <c r="CG53" s="164">
        <f t="shared" si="46"/>
        <v>1</v>
      </c>
      <c r="CH53" s="164">
        <f t="shared" si="46"/>
        <v>1</v>
      </c>
      <c r="CI53" s="164">
        <f t="shared" si="46"/>
        <v>1</v>
      </c>
      <c r="CJ53" s="164">
        <f t="shared" si="46"/>
        <v>1</v>
      </c>
      <c r="CK53" s="164">
        <f t="shared" si="46"/>
        <v>1</v>
      </c>
      <c r="CL53" s="152" t="str">
        <f t="shared" si="46"/>
        <v/>
      </c>
      <c r="CM53" s="152" t="str">
        <f t="shared" si="46"/>
        <v/>
      </c>
      <c r="CN53" s="152" t="str">
        <f t="shared" si="46"/>
        <v/>
      </c>
      <c r="CO53" s="152" t="str">
        <f t="shared" si="46"/>
        <v/>
      </c>
      <c r="CP53" s="152" t="str">
        <f t="shared" si="46"/>
        <v/>
      </c>
      <c r="CQ53" s="152" t="str">
        <f t="shared" si="46"/>
        <v/>
      </c>
      <c r="CR53" s="152" t="str">
        <f t="shared" si="46"/>
        <v/>
      </c>
      <c r="CS53" s="152" t="str">
        <f t="shared" si="46"/>
        <v/>
      </c>
      <c r="CT53" s="152" t="str">
        <f t="shared" si="46"/>
        <v/>
      </c>
      <c r="CU53" s="152" t="str">
        <f t="shared" si="46"/>
        <v/>
      </c>
    </row>
    <row r="54" ht="31.5" customHeight="1">
      <c r="B54" s="162" t="s">
        <v>212</v>
      </c>
      <c r="C54" s="154" t="s">
        <v>213</v>
      </c>
      <c r="D54" s="139" t="s">
        <v>108</v>
      </c>
      <c r="E54" s="140">
        <v>46349.0</v>
      </c>
      <c r="F54" s="140">
        <v>46353.0</v>
      </c>
      <c r="G54" s="141">
        <f t="shared" si="3"/>
        <v>5</v>
      </c>
      <c r="H54" s="163" t="s">
        <v>214</v>
      </c>
      <c r="I54" s="143">
        <v>0.0</v>
      </c>
      <c r="J54" s="164" t="str">
        <f t="shared" ref="J54:CU54" si="47">IF(AND(J$6&gt;=$E54,J$6&lt;=$F54),IF(NETWORKDAYS($E54,J$6)&lt;=ROUNDUP(NETWORKDAYS($E54,$F54)*$I54,0),2,1),"")</f>
        <v/>
      </c>
      <c r="K54" s="164" t="str">
        <f t="shared" si="47"/>
        <v/>
      </c>
      <c r="L54" s="164" t="str">
        <f t="shared" si="47"/>
        <v/>
      </c>
      <c r="M54" s="164" t="str">
        <f t="shared" si="47"/>
        <v/>
      </c>
      <c r="N54" s="164" t="str">
        <f t="shared" si="47"/>
        <v/>
      </c>
      <c r="O54" s="165" t="str">
        <f t="shared" si="47"/>
        <v/>
      </c>
      <c r="P54" s="165" t="str">
        <f t="shared" si="47"/>
        <v/>
      </c>
      <c r="Q54" s="165" t="str">
        <f t="shared" si="47"/>
        <v/>
      </c>
      <c r="R54" s="165" t="str">
        <f t="shared" si="47"/>
        <v/>
      </c>
      <c r="S54" s="165" t="str">
        <f t="shared" si="47"/>
        <v/>
      </c>
      <c r="T54" s="164" t="str">
        <f t="shared" si="47"/>
        <v/>
      </c>
      <c r="U54" s="164" t="str">
        <f t="shared" si="47"/>
        <v/>
      </c>
      <c r="V54" s="164" t="str">
        <f t="shared" si="47"/>
        <v/>
      </c>
      <c r="W54" s="164" t="str">
        <f t="shared" si="47"/>
        <v/>
      </c>
      <c r="X54" s="164" t="str">
        <f t="shared" si="47"/>
        <v/>
      </c>
      <c r="Y54" s="166" t="str">
        <f t="shared" si="47"/>
        <v/>
      </c>
      <c r="Z54" s="166" t="str">
        <f t="shared" si="47"/>
        <v/>
      </c>
      <c r="AA54" s="166" t="str">
        <f t="shared" si="47"/>
        <v/>
      </c>
      <c r="AB54" s="166" t="str">
        <f t="shared" si="47"/>
        <v/>
      </c>
      <c r="AC54" s="166" t="str">
        <f t="shared" si="47"/>
        <v/>
      </c>
      <c r="AD54" s="164" t="str">
        <f t="shared" si="47"/>
        <v/>
      </c>
      <c r="AE54" s="164" t="str">
        <f t="shared" si="47"/>
        <v/>
      </c>
      <c r="AF54" s="164" t="str">
        <f t="shared" si="47"/>
        <v/>
      </c>
      <c r="AG54" s="164" t="str">
        <f t="shared" si="47"/>
        <v/>
      </c>
      <c r="AH54" s="164" t="str">
        <f t="shared" si="47"/>
        <v/>
      </c>
      <c r="AI54" s="167" t="str">
        <f t="shared" si="47"/>
        <v/>
      </c>
      <c r="AJ54" s="167" t="str">
        <f t="shared" si="47"/>
        <v/>
      </c>
      <c r="AK54" s="167" t="str">
        <f t="shared" si="47"/>
        <v/>
      </c>
      <c r="AL54" s="167" t="str">
        <f t="shared" si="47"/>
        <v/>
      </c>
      <c r="AM54" s="167" t="str">
        <f t="shared" si="47"/>
        <v/>
      </c>
      <c r="AN54" s="164" t="str">
        <f t="shared" si="47"/>
        <v/>
      </c>
      <c r="AO54" s="164" t="str">
        <f t="shared" si="47"/>
        <v/>
      </c>
      <c r="AP54" s="164" t="str">
        <f t="shared" si="47"/>
        <v/>
      </c>
      <c r="AQ54" s="164" t="str">
        <f t="shared" si="47"/>
        <v/>
      </c>
      <c r="AR54" s="164" t="str">
        <f t="shared" si="47"/>
        <v/>
      </c>
      <c r="AS54" s="167" t="str">
        <f t="shared" si="47"/>
        <v/>
      </c>
      <c r="AT54" s="167" t="str">
        <f t="shared" si="47"/>
        <v/>
      </c>
      <c r="AU54" s="167" t="str">
        <f t="shared" si="47"/>
        <v/>
      </c>
      <c r="AV54" s="167" t="str">
        <f t="shared" si="47"/>
        <v/>
      </c>
      <c r="AW54" s="167" t="str">
        <f t="shared" si="47"/>
        <v/>
      </c>
      <c r="AX54" s="164" t="str">
        <f t="shared" si="47"/>
        <v/>
      </c>
      <c r="AY54" s="164" t="str">
        <f t="shared" si="47"/>
        <v/>
      </c>
      <c r="AZ54" s="164" t="str">
        <f t="shared" si="47"/>
        <v/>
      </c>
      <c r="BA54" s="164" t="str">
        <f t="shared" si="47"/>
        <v/>
      </c>
      <c r="BB54" s="164" t="str">
        <f t="shared" si="47"/>
        <v/>
      </c>
      <c r="BC54" s="168" t="str">
        <f t="shared" si="47"/>
        <v/>
      </c>
      <c r="BD54" s="168" t="str">
        <f t="shared" si="47"/>
        <v/>
      </c>
      <c r="BE54" s="168" t="str">
        <f t="shared" si="47"/>
        <v/>
      </c>
      <c r="BF54" s="168" t="str">
        <f t="shared" si="47"/>
        <v/>
      </c>
      <c r="BG54" s="168" t="str">
        <f t="shared" si="47"/>
        <v/>
      </c>
      <c r="BH54" s="164" t="str">
        <f t="shared" si="47"/>
        <v/>
      </c>
      <c r="BI54" s="164" t="str">
        <f t="shared" si="47"/>
        <v/>
      </c>
      <c r="BJ54" s="164" t="str">
        <f t="shared" si="47"/>
        <v/>
      </c>
      <c r="BK54" s="164" t="str">
        <f t="shared" si="47"/>
        <v/>
      </c>
      <c r="BL54" s="164" t="str">
        <f t="shared" si="47"/>
        <v/>
      </c>
      <c r="BM54" s="168" t="str">
        <f t="shared" si="47"/>
        <v/>
      </c>
      <c r="BN54" s="168" t="str">
        <f t="shared" si="47"/>
        <v/>
      </c>
      <c r="BO54" s="168" t="str">
        <f t="shared" si="47"/>
        <v/>
      </c>
      <c r="BP54" s="168" t="str">
        <f t="shared" si="47"/>
        <v/>
      </c>
      <c r="BQ54" s="168" t="str">
        <f t="shared" si="47"/>
        <v/>
      </c>
      <c r="BR54" s="169" t="str">
        <f t="shared" si="47"/>
        <v/>
      </c>
      <c r="BS54" s="169" t="str">
        <f t="shared" si="47"/>
        <v/>
      </c>
      <c r="BT54" s="169" t="str">
        <f t="shared" si="47"/>
        <v/>
      </c>
      <c r="BU54" s="169" t="str">
        <f t="shared" si="47"/>
        <v/>
      </c>
      <c r="BV54" s="169" t="str">
        <f t="shared" si="47"/>
        <v/>
      </c>
      <c r="BW54" s="164" t="str">
        <f t="shared" si="47"/>
        <v/>
      </c>
      <c r="BX54" s="164" t="str">
        <f t="shared" si="47"/>
        <v/>
      </c>
      <c r="BY54" s="164" t="str">
        <f t="shared" si="47"/>
        <v/>
      </c>
      <c r="BZ54" s="164" t="str">
        <f t="shared" si="47"/>
        <v/>
      </c>
      <c r="CA54" s="164" t="str">
        <f t="shared" si="47"/>
        <v/>
      </c>
      <c r="CB54" s="169" t="str">
        <f t="shared" si="47"/>
        <v/>
      </c>
      <c r="CC54" s="169" t="str">
        <f t="shared" si="47"/>
        <v/>
      </c>
      <c r="CD54" s="169" t="str">
        <f t="shared" si="47"/>
        <v/>
      </c>
      <c r="CE54" s="169" t="str">
        <f t="shared" si="47"/>
        <v/>
      </c>
      <c r="CF54" s="169" t="str">
        <f t="shared" si="47"/>
        <v/>
      </c>
      <c r="CG54" s="164">
        <f t="shared" si="47"/>
        <v>1</v>
      </c>
      <c r="CH54" s="164">
        <f t="shared" si="47"/>
        <v>1</v>
      </c>
      <c r="CI54" s="164">
        <f t="shared" si="47"/>
        <v>1</v>
      </c>
      <c r="CJ54" s="164">
        <f t="shared" si="47"/>
        <v>1</v>
      </c>
      <c r="CK54" s="164">
        <f t="shared" si="47"/>
        <v>1</v>
      </c>
      <c r="CL54" s="152" t="str">
        <f t="shared" si="47"/>
        <v/>
      </c>
      <c r="CM54" s="152" t="str">
        <f t="shared" si="47"/>
        <v/>
      </c>
      <c r="CN54" s="152" t="str">
        <f t="shared" si="47"/>
        <v/>
      </c>
      <c r="CO54" s="152" t="str">
        <f t="shared" si="47"/>
        <v/>
      </c>
      <c r="CP54" s="152" t="str">
        <f t="shared" si="47"/>
        <v/>
      </c>
      <c r="CQ54" s="152" t="str">
        <f t="shared" si="47"/>
        <v/>
      </c>
      <c r="CR54" s="152" t="str">
        <f t="shared" si="47"/>
        <v/>
      </c>
      <c r="CS54" s="152" t="str">
        <f t="shared" si="47"/>
        <v/>
      </c>
      <c r="CT54" s="152" t="str">
        <f t="shared" si="47"/>
        <v/>
      </c>
      <c r="CU54" s="152" t="str">
        <f t="shared" si="47"/>
        <v/>
      </c>
    </row>
    <row r="55" ht="31.5" customHeight="1">
      <c r="B55" s="162" t="s">
        <v>215</v>
      </c>
      <c r="C55" s="154" t="s">
        <v>216</v>
      </c>
      <c r="D55" s="139" t="s">
        <v>66</v>
      </c>
      <c r="E55" s="140">
        <v>46356.0</v>
      </c>
      <c r="F55" s="140">
        <v>46358.0</v>
      </c>
      <c r="G55" s="141">
        <f t="shared" si="3"/>
        <v>3</v>
      </c>
      <c r="H55" s="163" t="s">
        <v>217</v>
      </c>
      <c r="I55" s="143">
        <v>0.0</v>
      </c>
      <c r="J55" s="164" t="str">
        <f t="shared" ref="J55:CU55" si="48">IF(AND(J$6&gt;=$E55,J$6&lt;=$F55),IF(NETWORKDAYS($E55,J$6)&lt;=ROUNDUP(NETWORKDAYS($E55,$F55)*$I55,0),2,1),"")</f>
        <v/>
      </c>
      <c r="K55" s="164" t="str">
        <f t="shared" si="48"/>
        <v/>
      </c>
      <c r="L55" s="164" t="str">
        <f t="shared" si="48"/>
        <v/>
      </c>
      <c r="M55" s="164" t="str">
        <f t="shared" si="48"/>
        <v/>
      </c>
      <c r="N55" s="164" t="str">
        <f t="shared" si="48"/>
        <v/>
      </c>
      <c r="O55" s="165" t="str">
        <f t="shared" si="48"/>
        <v/>
      </c>
      <c r="P55" s="165" t="str">
        <f t="shared" si="48"/>
        <v/>
      </c>
      <c r="Q55" s="165" t="str">
        <f t="shared" si="48"/>
        <v/>
      </c>
      <c r="R55" s="165" t="str">
        <f t="shared" si="48"/>
        <v/>
      </c>
      <c r="S55" s="165" t="str">
        <f t="shared" si="48"/>
        <v/>
      </c>
      <c r="T55" s="164" t="str">
        <f t="shared" si="48"/>
        <v/>
      </c>
      <c r="U55" s="164" t="str">
        <f t="shared" si="48"/>
        <v/>
      </c>
      <c r="V55" s="164" t="str">
        <f t="shared" si="48"/>
        <v/>
      </c>
      <c r="W55" s="164" t="str">
        <f t="shared" si="48"/>
        <v/>
      </c>
      <c r="X55" s="164" t="str">
        <f t="shared" si="48"/>
        <v/>
      </c>
      <c r="Y55" s="166" t="str">
        <f t="shared" si="48"/>
        <v/>
      </c>
      <c r="Z55" s="166" t="str">
        <f t="shared" si="48"/>
        <v/>
      </c>
      <c r="AA55" s="166" t="str">
        <f t="shared" si="48"/>
        <v/>
      </c>
      <c r="AB55" s="166" t="str">
        <f t="shared" si="48"/>
        <v/>
      </c>
      <c r="AC55" s="166" t="str">
        <f t="shared" si="48"/>
        <v/>
      </c>
      <c r="AD55" s="164" t="str">
        <f t="shared" si="48"/>
        <v/>
      </c>
      <c r="AE55" s="164" t="str">
        <f t="shared" si="48"/>
        <v/>
      </c>
      <c r="AF55" s="164" t="str">
        <f t="shared" si="48"/>
        <v/>
      </c>
      <c r="AG55" s="164" t="str">
        <f t="shared" si="48"/>
        <v/>
      </c>
      <c r="AH55" s="164" t="str">
        <f t="shared" si="48"/>
        <v/>
      </c>
      <c r="AI55" s="167" t="str">
        <f t="shared" si="48"/>
        <v/>
      </c>
      <c r="AJ55" s="167" t="str">
        <f t="shared" si="48"/>
        <v/>
      </c>
      <c r="AK55" s="167" t="str">
        <f t="shared" si="48"/>
        <v/>
      </c>
      <c r="AL55" s="167" t="str">
        <f t="shared" si="48"/>
        <v/>
      </c>
      <c r="AM55" s="167" t="str">
        <f t="shared" si="48"/>
        <v/>
      </c>
      <c r="AN55" s="164" t="str">
        <f t="shared" si="48"/>
        <v/>
      </c>
      <c r="AO55" s="164" t="str">
        <f t="shared" si="48"/>
        <v/>
      </c>
      <c r="AP55" s="164" t="str">
        <f t="shared" si="48"/>
        <v/>
      </c>
      <c r="AQ55" s="164" t="str">
        <f t="shared" si="48"/>
        <v/>
      </c>
      <c r="AR55" s="164" t="str">
        <f t="shared" si="48"/>
        <v/>
      </c>
      <c r="AS55" s="167" t="str">
        <f t="shared" si="48"/>
        <v/>
      </c>
      <c r="AT55" s="167" t="str">
        <f t="shared" si="48"/>
        <v/>
      </c>
      <c r="AU55" s="167" t="str">
        <f t="shared" si="48"/>
        <v/>
      </c>
      <c r="AV55" s="167" t="str">
        <f t="shared" si="48"/>
        <v/>
      </c>
      <c r="AW55" s="167" t="str">
        <f t="shared" si="48"/>
        <v/>
      </c>
      <c r="AX55" s="164" t="str">
        <f t="shared" si="48"/>
        <v/>
      </c>
      <c r="AY55" s="164" t="str">
        <f t="shared" si="48"/>
        <v/>
      </c>
      <c r="AZ55" s="164" t="str">
        <f t="shared" si="48"/>
        <v/>
      </c>
      <c r="BA55" s="164" t="str">
        <f t="shared" si="48"/>
        <v/>
      </c>
      <c r="BB55" s="164" t="str">
        <f t="shared" si="48"/>
        <v/>
      </c>
      <c r="BC55" s="168" t="str">
        <f t="shared" si="48"/>
        <v/>
      </c>
      <c r="BD55" s="168" t="str">
        <f t="shared" si="48"/>
        <v/>
      </c>
      <c r="BE55" s="168" t="str">
        <f t="shared" si="48"/>
        <v/>
      </c>
      <c r="BF55" s="168" t="str">
        <f t="shared" si="48"/>
        <v/>
      </c>
      <c r="BG55" s="168" t="str">
        <f t="shared" si="48"/>
        <v/>
      </c>
      <c r="BH55" s="164" t="str">
        <f t="shared" si="48"/>
        <v/>
      </c>
      <c r="BI55" s="164" t="str">
        <f t="shared" si="48"/>
        <v/>
      </c>
      <c r="BJ55" s="164" t="str">
        <f t="shared" si="48"/>
        <v/>
      </c>
      <c r="BK55" s="164" t="str">
        <f t="shared" si="48"/>
        <v/>
      </c>
      <c r="BL55" s="164" t="str">
        <f t="shared" si="48"/>
        <v/>
      </c>
      <c r="BM55" s="168" t="str">
        <f t="shared" si="48"/>
        <v/>
      </c>
      <c r="BN55" s="168" t="str">
        <f t="shared" si="48"/>
        <v/>
      </c>
      <c r="BO55" s="168" t="str">
        <f t="shared" si="48"/>
        <v/>
      </c>
      <c r="BP55" s="168" t="str">
        <f t="shared" si="48"/>
        <v/>
      </c>
      <c r="BQ55" s="168" t="str">
        <f t="shared" si="48"/>
        <v/>
      </c>
      <c r="BR55" s="169" t="str">
        <f t="shared" si="48"/>
        <v/>
      </c>
      <c r="BS55" s="169" t="str">
        <f t="shared" si="48"/>
        <v/>
      </c>
      <c r="BT55" s="169" t="str">
        <f t="shared" si="48"/>
        <v/>
      </c>
      <c r="BU55" s="169" t="str">
        <f t="shared" si="48"/>
        <v/>
      </c>
      <c r="BV55" s="169" t="str">
        <f t="shared" si="48"/>
        <v/>
      </c>
      <c r="BW55" s="164" t="str">
        <f t="shared" si="48"/>
        <v/>
      </c>
      <c r="BX55" s="164" t="str">
        <f t="shared" si="48"/>
        <v/>
      </c>
      <c r="BY55" s="164" t="str">
        <f t="shared" si="48"/>
        <v/>
      </c>
      <c r="BZ55" s="164" t="str">
        <f t="shared" si="48"/>
        <v/>
      </c>
      <c r="CA55" s="164" t="str">
        <f t="shared" si="48"/>
        <v/>
      </c>
      <c r="CB55" s="169" t="str">
        <f t="shared" si="48"/>
        <v/>
      </c>
      <c r="CC55" s="169" t="str">
        <f t="shared" si="48"/>
        <v/>
      </c>
      <c r="CD55" s="169" t="str">
        <f t="shared" si="48"/>
        <v/>
      </c>
      <c r="CE55" s="169" t="str">
        <f t="shared" si="48"/>
        <v/>
      </c>
      <c r="CF55" s="169" t="str">
        <f t="shared" si="48"/>
        <v/>
      </c>
      <c r="CG55" s="164" t="str">
        <f t="shared" si="48"/>
        <v/>
      </c>
      <c r="CH55" s="164" t="str">
        <f t="shared" si="48"/>
        <v/>
      </c>
      <c r="CI55" s="164" t="str">
        <f t="shared" si="48"/>
        <v/>
      </c>
      <c r="CJ55" s="164" t="str">
        <f t="shared" si="48"/>
        <v/>
      </c>
      <c r="CK55" s="164" t="str">
        <f t="shared" si="48"/>
        <v/>
      </c>
      <c r="CL55" s="152">
        <f t="shared" si="48"/>
        <v>1</v>
      </c>
      <c r="CM55" s="152">
        <f t="shared" si="48"/>
        <v>1</v>
      </c>
      <c r="CN55" s="152">
        <f t="shared" si="48"/>
        <v>1</v>
      </c>
      <c r="CO55" s="152" t="str">
        <f t="shared" si="48"/>
        <v/>
      </c>
      <c r="CP55" s="152" t="str">
        <f t="shared" si="48"/>
        <v/>
      </c>
      <c r="CQ55" s="152" t="str">
        <f t="shared" si="48"/>
        <v/>
      </c>
      <c r="CR55" s="152" t="str">
        <f t="shared" si="48"/>
        <v/>
      </c>
      <c r="CS55" s="152" t="str">
        <f t="shared" si="48"/>
        <v/>
      </c>
      <c r="CT55" s="152" t="str">
        <f t="shared" si="48"/>
        <v/>
      </c>
      <c r="CU55" s="152" t="str">
        <f t="shared" si="48"/>
        <v/>
      </c>
    </row>
    <row r="56" ht="31.5" customHeight="1">
      <c r="B56" s="162" t="s">
        <v>218</v>
      </c>
      <c r="C56" s="172" t="s">
        <v>219</v>
      </c>
      <c r="D56" s="139" t="s">
        <v>66</v>
      </c>
      <c r="E56" s="140">
        <v>46359.0</v>
      </c>
      <c r="F56" s="140">
        <v>46360.0</v>
      </c>
      <c r="G56" s="141">
        <f t="shared" si="3"/>
        <v>2</v>
      </c>
      <c r="H56" s="163" t="s">
        <v>220</v>
      </c>
      <c r="I56" s="143">
        <v>0.0</v>
      </c>
      <c r="J56" s="164" t="str">
        <f t="shared" ref="J56:CU56" si="49">IF(AND(J$6&gt;=$E56,J$6&lt;=$F56),IF(NETWORKDAYS($E56,J$6)&lt;=ROUNDUP(NETWORKDAYS($E56,$F56)*$I56,0),2,1),"")</f>
        <v/>
      </c>
      <c r="K56" s="164" t="str">
        <f t="shared" si="49"/>
        <v/>
      </c>
      <c r="L56" s="164" t="str">
        <f t="shared" si="49"/>
        <v/>
      </c>
      <c r="M56" s="164" t="str">
        <f t="shared" si="49"/>
        <v/>
      </c>
      <c r="N56" s="164" t="str">
        <f t="shared" si="49"/>
        <v/>
      </c>
      <c r="O56" s="165" t="str">
        <f t="shared" si="49"/>
        <v/>
      </c>
      <c r="P56" s="165" t="str">
        <f t="shared" si="49"/>
        <v/>
      </c>
      <c r="Q56" s="165" t="str">
        <f t="shared" si="49"/>
        <v/>
      </c>
      <c r="R56" s="165" t="str">
        <f t="shared" si="49"/>
        <v/>
      </c>
      <c r="S56" s="165" t="str">
        <f t="shared" si="49"/>
        <v/>
      </c>
      <c r="T56" s="164" t="str">
        <f t="shared" si="49"/>
        <v/>
      </c>
      <c r="U56" s="164" t="str">
        <f t="shared" si="49"/>
        <v/>
      </c>
      <c r="V56" s="164" t="str">
        <f t="shared" si="49"/>
        <v/>
      </c>
      <c r="W56" s="164" t="str">
        <f t="shared" si="49"/>
        <v/>
      </c>
      <c r="X56" s="164" t="str">
        <f t="shared" si="49"/>
        <v/>
      </c>
      <c r="Y56" s="166" t="str">
        <f t="shared" si="49"/>
        <v/>
      </c>
      <c r="Z56" s="166" t="str">
        <f t="shared" si="49"/>
        <v/>
      </c>
      <c r="AA56" s="166" t="str">
        <f t="shared" si="49"/>
        <v/>
      </c>
      <c r="AB56" s="166" t="str">
        <f t="shared" si="49"/>
        <v/>
      </c>
      <c r="AC56" s="166" t="str">
        <f t="shared" si="49"/>
        <v/>
      </c>
      <c r="AD56" s="164" t="str">
        <f t="shared" si="49"/>
        <v/>
      </c>
      <c r="AE56" s="164" t="str">
        <f t="shared" si="49"/>
        <v/>
      </c>
      <c r="AF56" s="164" t="str">
        <f t="shared" si="49"/>
        <v/>
      </c>
      <c r="AG56" s="164" t="str">
        <f t="shared" si="49"/>
        <v/>
      </c>
      <c r="AH56" s="164" t="str">
        <f t="shared" si="49"/>
        <v/>
      </c>
      <c r="AI56" s="167" t="str">
        <f t="shared" si="49"/>
        <v/>
      </c>
      <c r="AJ56" s="167" t="str">
        <f t="shared" si="49"/>
        <v/>
      </c>
      <c r="AK56" s="167" t="str">
        <f t="shared" si="49"/>
        <v/>
      </c>
      <c r="AL56" s="167" t="str">
        <f t="shared" si="49"/>
        <v/>
      </c>
      <c r="AM56" s="167" t="str">
        <f t="shared" si="49"/>
        <v/>
      </c>
      <c r="AN56" s="164" t="str">
        <f t="shared" si="49"/>
        <v/>
      </c>
      <c r="AO56" s="164" t="str">
        <f t="shared" si="49"/>
        <v/>
      </c>
      <c r="AP56" s="164" t="str">
        <f t="shared" si="49"/>
        <v/>
      </c>
      <c r="AQ56" s="164" t="str">
        <f t="shared" si="49"/>
        <v/>
      </c>
      <c r="AR56" s="164" t="str">
        <f t="shared" si="49"/>
        <v/>
      </c>
      <c r="AS56" s="167" t="str">
        <f t="shared" si="49"/>
        <v/>
      </c>
      <c r="AT56" s="167" t="str">
        <f t="shared" si="49"/>
        <v/>
      </c>
      <c r="AU56" s="167" t="str">
        <f t="shared" si="49"/>
        <v/>
      </c>
      <c r="AV56" s="167" t="str">
        <f t="shared" si="49"/>
        <v/>
      </c>
      <c r="AW56" s="167" t="str">
        <f t="shared" si="49"/>
        <v/>
      </c>
      <c r="AX56" s="164" t="str">
        <f t="shared" si="49"/>
        <v/>
      </c>
      <c r="AY56" s="164" t="str">
        <f t="shared" si="49"/>
        <v/>
      </c>
      <c r="AZ56" s="164" t="str">
        <f t="shared" si="49"/>
        <v/>
      </c>
      <c r="BA56" s="164" t="str">
        <f t="shared" si="49"/>
        <v/>
      </c>
      <c r="BB56" s="164" t="str">
        <f t="shared" si="49"/>
        <v/>
      </c>
      <c r="BC56" s="168" t="str">
        <f t="shared" si="49"/>
        <v/>
      </c>
      <c r="BD56" s="168" t="str">
        <f t="shared" si="49"/>
        <v/>
      </c>
      <c r="BE56" s="168" t="str">
        <f t="shared" si="49"/>
        <v/>
      </c>
      <c r="BF56" s="168" t="str">
        <f t="shared" si="49"/>
        <v/>
      </c>
      <c r="BG56" s="168" t="str">
        <f t="shared" si="49"/>
        <v/>
      </c>
      <c r="BH56" s="164" t="str">
        <f t="shared" si="49"/>
        <v/>
      </c>
      <c r="BI56" s="164" t="str">
        <f t="shared" si="49"/>
        <v/>
      </c>
      <c r="BJ56" s="164" t="str">
        <f t="shared" si="49"/>
        <v/>
      </c>
      <c r="BK56" s="164" t="str">
        <f t="shared" si="49"/>
        <v/>
      </c>
      <c r="BL56" s="164" t="str">
        <f t="shared" si="49"/>
        <v/>
      </c>
      <c r="BM56" s="168" t="str">
        <f t="shared" si="49"/>
        <v/>
      </c>
      <c r="BN56" s="168" t="str">
        <f t="shared" si="49"/>
        <v/>
      </c>
      <c r="BO56" s="168" t="str">
        <f t="shared" si="49"/>
        <v/>
      </c>
      <c r="BP56" s="168" t="str">
        <f t="shared" si="49"/>
        <v/>
      </c>
      <c r="BQ56" s="168" t="str">
        <f t="shared" si="49"/>
        <v/>
      </c>
      <c r="BR56" s="169" t="str">
        <f t="shared" si="49"/>
        <v/>
      </c>
      <c r="BS56" s="169" t="str">
        <f t="shared" si="49"/>
        <v/>
      </c>
      <c r="BT56" s="169" t="str">
        <f t="shared" si="49"/>
        <v/>
      </c>
      <c r="BU56" s="169" t="str">
        <f t="shared" si="49"/>
        <v/>
      </c>
      <c r="BV56" s="169" t="str">
        <f t="shared" si="49"/>
        <v/>
      </c>
      <c r="BW56" s="164" t="str">
        <f t="shared" si="49"/>
        <v/>
      </c>
      <c r="BX56" s="164" t="str">
        <f t="shared" si="49"/>
        <v/>
      </c>
      <c r="BY56" s="164" t="str">
        <f t="shared" si="49"/>
        <v/>
      </c>
      <c r="BZ56" s="164" t="str">
        <f t="shared" si="49"/>
        <v/>
      </c>
      <c r="CA56" s="164" t="str">
        <f t="shared" si="49"/>
        <v/>
      </c>
      <c r="CB56" s="169" t="str">
        <f t="shared" si="49"/>
        <v/>
      </c>
      <c r="CC56" s="169" t="str">
        <f t="shared" si="49"/>
        <v/>
      </c>
      <c r="CD56" s="169" t="str">
        <f t="shared" si="49"/>
        <v/>
      </c>
      <c r="CE56" s="169" t="str">
        <f t="shared" si="49"/>
        <v/>
      </c>
      <c r="CF56" s="169" t="str">
        <f t="shared" si="49"/>
        <v/>
      </c>
      <c r="CG56" s="164" t="str">
        <f t="shared" si="49"/>
        <v/>
      </c>
      <c r="CH56" s="164" t="str">
        <f t="shared" si="49"/>
        <v/>
      </c>
      <c r="CI56" s="164" t="str">
        <f t="shared" si="49"/>
        <v/>
      </c>
      <c r="CJ56" s="164" t="str">
        <f t="shared" si="49"/>
        <v/>
      </c>
      <c r="CK56" s="164" t="str">
        <f t="shared" si="49"/>
        <v/>
      </c>
      <c r="CL56" s="152" t="str">
        <f t="shared" si="49"/>
        <v/>
      </c>
      <c r="CM56" s="152" t="str">
        <f t="shared" si="49"/>
        <v/>
      </c>
      <c r="CN56" s="152" t="str">
        <f t="shared" si="49"/>
        <v/>
      </c>
      <c r="CO56" s="152">
        <f t="shared" si="49"/>
        <v>1</v>
      </c>
      <c r="CP56" s="152">
        <f t="shared" si="49"/>
        <v>1</v>
      </c>
      <c r="CQ56" s="152" t="str">
        <f t="shared" si="49"/>
        <v/>
      </c>
      <c r="CR56" s="152" t="str">
        <f t="shared" si="49"/>
        <v/>
      </c>
      <c r="CS56" s="152" t="str">
        <f t="shared" si="49"/>
        <v/>
      </c>
      <c r="CT56" s="152" t="str">
        <f t="shared" si="49"/>
        <v/>
      </c>
      <c r="CU56" s="152" t="str">
        <f t="shared" si="49"/>
        <v/>
      </c>
    </row>
    <row r="57" ht="31.5" customHeight="1">
      <c r="B57" s="162" t="s">
        <v>221</v>
      </c>
      <c r="C57" s="154" t="s">
        <v>222</v>
      </c>
      <c r="D57" s="139" t="s">
        <v>66</v>
      </c>
      <c r="E57" s="140">
        <v>46363.0</v>
      </c>
      <c r="F57" s="140">
        <v>46367.0</v>
      </c>
      <c r="G57" s="141">
        <f t="shared" si="3"/>
        <v>5</v>
      </c>
      <c r="H57" s="163" t="s">
        <v>223</v>
      </c>
      <c r="I57" s="143">
        <v>0.0</v>
      </c>
      <c r="J57" s="164" t="str">
        <f t="shared" ref="J57:CU57" si="50">IF(AND(J$6&gt;=$E57,J$6&lt;=$F57),IF(NETWORKDAYS($E57,J$6)&lt;=ROUNDUP(NETWORKDAYS($E57,$F57)*$I57,0),2,1),"")</f>
        <v/>
      </c>
      <c r="K57" s="164" t="str">
        <f t="shared" si="50"/>
        <v/>
      </c>
      <c r="L57" s="164" t="str">
        <f t="shared" si="50"/>
        <v/>
      </c>
      <c r="M57" s="164" t="str">
        <f t="shared" si="50"/>
        <v/>
      </c>
      <c r="N57" s="164" t="str">
        <f t="shared" si="50"/>
        <v/>
      </c>
      <c r="O57" s="165" t="str">
        <f t="shared" si="50"/>
        <v/>
      </c>
      <c r="P57" s="165" t="str">
        <f t="shared" si="50"/>
        <v/>
      </c>
      <c r="Q57" s="165" t="str">
        <f t="shared" si="50"/>
        <v/>
      </c>
      <c r="R57" s="165" t="str">
        <f t="shared" si="50"/>
        <v/>
      </c>
      <c r="S57" s="165" t="str">
        <f t="shared" si="50"/>
        <v/>
      </c>
      <c r="T57" s="164" t="str">
        <f t="shared" si="50"/>
        <v/>
      </c>
      <c r="U57" s="164" t="str">
        <f t="shared" si="50"/>
        <v/>
      </c>
      <c r="V57" s="164" t="str">
        <f t="shared" si="50"/>
        <v/>
      </c>
      <c r="W57" s="164" t="str">
        <f t="shared" si="50"/>
        <v/>
      </c>
      <c r="X57" s="164" t="str">
        <f t="shared" si="50"/>
        <v/>
      </c>
      <c r="Y57" s="166" t="str">
        <f t="shared" si="50"/>
        <v/>
      </c>
      <c r="Z57" s="166" t="str">
        <f t="shared" si="50"/>
        <v/>
      </c>
      <c r="AA57" s="166" t="str">
        <f t="shared" si="50"/>
        <v/>
      </c>
      <c r="AB57" s="166" t="str">
        <f t="shared" si="50"/>
        <v/>
      </c>
      <c r="AC57" s="166" t="str">
        <f t="shared" si="50"/>
        <v/>
      </c>
      <c r="AD57" s="164" t="str">
        <f t="shared" si="50"/>
        <v/>
      </c>
      <c r="AE57" s="164" t="str">
        <f t="shared" si="50"/>
        <v/>
      </c>
      <c r="AF57" s="164" t="str">
        <f t="shared" si="50"/>
        <v/>
      </c>
      <c r="AG57" s="164" t="str">
        <f t="shared" si="50"/>
        <v/>
      </c>
      <c r="AH57" s="164" t="str">
        <f t="shared" si="50"/>
        <v/>
      </c>
      <c r="AI57" s="167" t="str">
        <f t="shared" si="50"/>
        <v/>
      </c>
      <c r="AJ57" s="167" t="str">
        <f t="shared" si="50"/>
        <v/>
      </c>
      <c r="AK57" s="167" t="str">
        <f t="shared" si="50"/>
        <v/>
      </c>
      <c r="AL57" s="167" t="str">
        <f t="shared" si="50"/>
        <v/>
      </c>
      <c r="AM57" s="167" t="str">
        <f t="shared" si="50"/>
        <v/>
      </c>
      <c r="AN57" s="164" t="str">
        <f t="shared" si="50"/>
        <v/>
      </c>
      <c r="AO57" s="164" t="str">
        <f t="shared" si="50"/>
        <v/>
      </c>
      <c r="AP57" s="164" t="str">
        <f t="shared" si="50"/>
        <v/>
      </c>
      <c r="AQ57" s="164" t="str">
        <f t="shared" si="50"/>
        <v/>
      </c>
      <c r="AR57" s="164" t="str">
        <f t="shared" si="50"/>
        <v/>
      </c>
      <c r="AS57" s="167" t="str">
        <f t="shared" si="50"/>
        <v/>
      </c>
      <c r="AT57" s="167" t="str">
        <f t="shared" si="50"/>
        <v/>
      </c>
      <c r="AU57" s="167" t="str">
        <f t="shared" si="50"/>
        <v/>
      </c>
      <c r="AV57" s="167" t="str">
        <f t="shared" si="50"/>
        <v/>
      </c>
      <c r="AW57" s="167" t="str">
        <f t="shared" si="50"/>
        <v/>
      </c>
      <c r="AX57" s="164" t="str">
        <f t="shared" si="50"/>
        <v/>
      </c>
      <c r="AY57" s="164" t="str">
        <f t="shared" si="50"/>
        <v/>
      </c>
      <c r="AZ57" s="164" t="str">
        <f t="shared" si="50"/>
        <v/>
      </c>
      <c r="BA57" s="164" t="str">
        <f t="shared" si="50"/>
        <v/>
      </c>
      <c r="BB57" s="164" t="str">
        <f t="shared" si="50"/>
        <v/>
      </c>
      <c r="BC57" s="168" t="str">
        <f t="shared" si="50"/>
        <v/>
      </c>
      <c r="BD57" s="168" t="str">
        <f t="shared" si="50"/>
        <v/>
      </c>
      <c r="BE57" s="168" t="str">
        <f t="shared" si="50"/>
        <v/>
      </c>
      <c r="BF57" s="168" t="str">
        <f t="shared" si="50"/>
        <v/>
      </c>
      <c r="BG57" s="168" t="str">
        <f t="shared" si="50"/>
        <v/>
      </c>
      <c r="BH57" s="164" t="str">
        <f t="shared" si="50"/>
        <v/>
      </c>
      <c r="BI57" s="164" t="str">
        <f t="shared" si="50"/>
        <v/>
      </c>
      <c r="BJ57" s="164" t="str">
        <f t="shared" si="50"/>
        <v/>
      </c>
      <c r="BK57" s="164" t="str">
        <f t="shared" si="50"/>
        <v/>
      </c>
      <c r="BL57" s="164" t="str">
        <f t="shared" si="50"/>
        <v/>
      </c>
      <c r="BM57" s="168" t="str">
        <f t="shared" si="50"/>
        <v/>
      </c>
      <c r="BN57" s="168" t="str">
        <f t="shared" si="50"/>
        <v/>
      </c>
      <c r="BO57" s="168" t="str">
        <f t="shared" si="50"/>
        <v/>
      </c>
      <c r="BP57" s="168" t="str">
        <f t="shared" si="50"/>
        <v/>
      </c>
      <c r="BQ57" s="168" t="str">
        <f t="shared" si="50"/>
        <v/>
      </c>
      <c r="BR57" s="169" t="str">
        <f t="shared" si="50"/>
        <v/>
      </c>
      <c r="BS57" s="169" t="str">
        <f t="shared" si="50"/>
        <v/>
      </c>
      <c r="BT57" s="169" t="str">
        <f t="shared" si="50"/>
        <v/>
      </c>
      <c r="BU57" s="169" t="str">
        <f t="shared" si="50"/>
        <v/>
      </c>
      <c r="BV57" s="169" t="str">
        <f t="shared" si="50"/>
        <v/>
      </c>
      <c r="BW57" s="164" t="str">
        <f t="shared" si="50"/>
        <v/>
      </c>
      <c r="BX57" s="164" t="str">
        <f t="shared" si="50"/>
        <v/>
      </c>
      <c r="BY57" s="164" t="str">
        <f t="shared" si="50"/>
        <v/>
      </c>
      <c r="BZ57" s="164" t="str">
        <f t="shared" si="50"/>
        <v/>
      </c>
      <c r="CA57" s="164" t="str">
        <f t="shared" si="50"/>
        <v/>
      </c>
      <c r="CB57" s="169" t="str">
        <f t="shared" si="50"/>
        <v/>
      </c>
      <c r="CC57" s="169" t="str">
        <f t="shared" si="50"/>
        <v/>
      </c>
      <c r="CD57" s="169" t="str">
        <f t="shared" si="50"/>
        <v/>
      </c>
      <c r="CE57" s="169" t="str">
        <f t="shared" si="50"/>
        <v/>
      </c>
      <c r="CF57" s="169" t="str">
        <f t="shared" si="50"/>
        <v/>
      </c>
      <c r="CG57" s="164" t="str">
        <f t="shared" si="50"/>
        <v/>
      </c>
      <c r="CH57" s="164" t="str">
        <f t="shared" si="50"/>
        <v/>
      </c>
      <c r="CI57" s="164" t="str">
        <f t="shared" si="50"/>
        <v/>
      </c>
      <c r="CJ57" s="164" t="str">
        <f t="shared" si="50"/>
        <v/>
      </c>
      <c r="CK57" s="164" t="str">
        <f t="shared" si="50"/>
        <v/>
      </c>
      <c r="CL57" s="152" t="str">
        <f t="shared" si="50"/>
        <v/>
      </c>
      <c r="CM57" s="152" t="str">
        <f t="shared" si="50"/>
        <v/>
      </c>
      <c r="CN57" s="152" t="str">
        <f t="shared" si="50"/>
        <v/>
      </c>
      <c r="CO57" s="152" t="str">
        <f t="shared" si="50"/>
        <v/>
      </c>
      <c r="CP57" s="152" t="str">
        <f t="shared" si="50"/>
        <v/>
      </c>
      <c r="CQ57" s="152">
        <f t="shared" si="50"/>
        <v>1</v>
      </c>
      <c r="CR57" s="152">
        <f t="shared" si="50"/>
        <v>1</v>
      </c>
      <c r="CS57" s="152">
        <f t="shared" si="50"/>
        <v>1</v>
      </c>
      <c r="CT57" s="152">
        <f t="shared" si="50"/>
        <v>1</v>
      </c>
      <c r="CU57" s="152">
        <f t="shared" si="50"/>
        <v>1</v>
      </c>
    </row>
    <row r="58" ht="31.5" customHeight="1">
      <c r="B58" s="162" t="s">
        <v>224</v>
      </c>
      <c r="C58" s="154" t="s">
        <v>225</v>
      </c>
      <c r="D58" s="139" t="s">
        <v>66</v>
      </c>
      <c r="E58" s="140">
        <v>46367.0</v>
      </c>
      <c r="F58" s="140">
        <v>46367.0</v>
      </c>
      <c r="G58" s="141">
        <f t="shared" si="3"/>
        <v>1</v>
      </c>
      <c r="H58" s="163" t="s">
        <v>226</v>
      </c>
      <c r="I58" s="143">
        <v>0.0</v>
      </c>
      <c r="J58" s="164" t="str">
        <f t="shared" ref="J58:CU58" si="51">IF(AND(J$6&gt;=$E58,J$6&lt;=$F58),IF(NETWORKDAYS($E58,J$6)&lt;=ROUNDUP(NETWORKDAYS($E58,$F58)*$I58,0),2,1),"")</f>
        <v/>
      </c>
      <c r="K58" s="164" t="str">
        <f t="shared" si="51"/>
        <v/>
      </c>
      <c r="L58" s="164" t="str">
        <f t="shared" si="51"/>
        <v/>
      </c>
      <c r="M58" s="164" t="str">
        <f t="shared" si="51"/>
        <v/>
      </c>
      <c r="N58" s="164" t="str">
        <f t="shared" si="51"/>
        <v/>
      </c>
      <c r="O58" s="165" t="str">
        <f t="shared" si="51"/>
        <v/>
      </c>
      <c r="P58" s="165" t="str">
        <f t="shared" si="51"/>
        <v/>
      </c>
      <c r="Q58" s="165" t="str">
        <f t="shared" si="51"/>
        <v/>
      </c>
      <c r="R58" s="165" t="str">
        <f t="shared" si="51"/>
        <v/>
      </c>
      <c r="S58" s="165" t="str">
        <f t="shared" si="51"/>
        <v/>
      </c>
      <c r="T58" s="164" t="str">
        <f t="shared" si="51"/>
        <v/>
      </c>
      <c r="U58" s="164" t="str">
        <f t="shared" si="51"/>
        <v/>
      </c>
      <c r="V58" s="164" t="str">
        <f t="shared" si="51"/>
        <v/>
      </c>
      <c r="W58" s="164" t="str">
        <f t="shared" si="51"/>
        <v/>
      </c>
      <c r="X58" s="164" t="str">
        <f t="shared" si="51"/>
        <v/>
      </c>
      <c r="Y58" s="166" t="str">
        <f t="shared" si="51"/>
        <v/>
      </c>
      <c r="Z58" s="166" t="str">
        <f t="shared" si="51"/>
        <v/>
      </c>
      <c r="AA58" s="166" t="str">
        <f t="shared" si="51"/>
        <v/>
      </c>
      <c r="AB58" s="166" t="str">
        <f t="shared" si="51"/>
        <v/>
      </c>
      <c r="AC58" s="166" t="str">
        <f t="shared" si="51"/>
        <v/>
      </c>
      <c r="AD58" s="164" t="str">
        <f t="shared" si="51"/>
        <v/>
      </c>
      <c r="AE58" s="164" t="str">
        <f t="shared" si="51"/>
        <v/>
      </c>
      <c r="AF58" s="164" t="str">
        <f t="shared" si="51"/>
        <v/>
      </c>
      <c r="AG58" s="164" t="str">
        <f t="shared" si="51"/>
        <v/>
      </c>
      <c r="AH58" s="164" t="str">
        <f t="shared" si="51"/>
        <v/>
      </c>
      <c r="AI58" s="167" t="str">
        <f t="shared" si="51"/>
        <v/>
      </c>
      <c r="AJ58" s="167" t="str">
        <f t="shared" si="51"/>
        <v/>
      </c>
      <c r="AK58" s="167" t="str">
        <f t="shared" si="51"/>
        <v/>
      </c>
      <c r="AL58" s="167" t="str">
        <f t="shared" si="51"/>
        <v/>
      </c>
      <c r="AM58" s="167" t="str">
        <f t="shared" si="51"/>
        <v/>
      </c>
      <c r="AN58" s="164" t="str">
        <f t="shared" si="51"/>
        <v/>
      </c>
      <c r="AO58" s="164" t="str">
        <f t="shared" si="51"/>
        <v/>
      </c>
      <c r="AP58" s="164" t="str">
        <f t="shared" si="51"/>
        <v/>
      </c>
      <c r="AQ58" s="164" t="str">
        <f t="shared" si="51"/>
        <v/>
      </c>
      <c r="AR58" s="164" t="str">
        <f t="shared" si="51"/>
        <v/>
      </c>
      <c r="AS58" s="167" t="str">
        <f t="shared" si="51"/>
        <v/>
      </c>
      <c r="AT58" s="167" t="str">
        <f t="shared" si="51"/>
        <v/>
      </c>
      <c r="AU58" s="167" t="str">
        <f t="shared" si="51"/>
        <v/>
      </c>
      <c r="AV58" s="167" t="str">
        <f t="shared" si="51"/>
        <v/>
      </c>
      <c r="AW58" s="167" t="str">
        <f t="shared" si="51"/>
        <v/>
      </c>
      <c r="AX58" s="164" t="str">
        <f t="shared" si="51"/>
        <v/>
      </c>
      <c r="AY58" s="164" t="str">
        <f t="shared" si="51"/>
        <v/>
      </c>
      <c r="AZ58" s="164" t="str">
        <f t="shared" si="51"/>
        <v/>
      </c>
      <c r="BA58" s="164" t="str">
        <f t="shared" si="51"/>
        <v/>
      </c>
      <c r="BB58" s="164" t="str">
        <f t="shared" si="51"/>
        <v/>
      </c>
      <c r="BC58" s="168" t="str">
        <f t="shared" si="51"/>
        <v/>
      </c>
      <c r="BD58" s="168" t="str">
        <f t="shared" si="51"/>
        <v/>
      </c>
      <c r="BE58" s="168" t="str">
        <f t="shared" si="51"/>
        <v/>
      </c>
      <c r="BF58" s="168" t="str">
        <f t="shared" si="51"/>
        <v/>
      </c>
      <c r="BG58" s="168" t="str">
        <f t="shared" si="51"/>
        <v/>
      </c>
      <c r="BH58" s="164" t="str">
        <f t="shared" si="51"/>
        <v/>
      </c>
      <c r="BI58" s="164" t="str">
        <f t="shared" si="51"/>
        <v/>
      </c>
      <c r="BJ58" s="164" t="str">
        <f t="shared" si="51"/>
        <v/>
      </c>
      <c r="BK58" s="164" t="str">
        <f t="shared" si="51"/>
        <v/>
      </c>
      <c r="BL58" s="164" t="str">
        <f t="shared" si="51"/>
        <v/>
      </c>
      <c r="BM58" s="168" t="str">
        <f t="shared" si="51"/>
        <v/>
      </c>
      <c r="BN58" s="168" t="str">
        <f t="shared" si="51"/>
        <v/>
      </c>
      <c r="BO58" s="168" t="str">
        <f t="shared" si="51"/>
        <v/>
      </c>
      <c r="BP58" s="168" t="str">
        <f t="shared" si="51"/>
        <v/>
      </c>
      <c r="BQ58" s="168" t="str">
        <f t="shared" si="51"/>
        <v/>
      </c>
      <c r="BR58" s="169" t="str">
        <f t="shared" si="51"/>
        <v/>
      </c>
      <c r="BS58" s="169" t="str">
        <f t="shared" si="51"/>
        <v/>
      </c>
      <c r="BT58" s="169" t="str">
        <f t="shared" si="51"/>
        <v/>
      </c>
      <c r="BU58" s="169" t="str">
        <f t="shared" si="51"/>
        <v/>
      </c>
      <c r="BV58" s="169" t="str">
        <f t="shared" si="51"/>
        <v/>
      </c>
      <c r="BW58" s="164" t="str">
        <f t="shared" si="51"/>
        <v/>
      </c>
      <c r="BX58" s="164" t="str">
        <f t="shared" si="51"/>
        <v/>
      </c>
      <c r="BY58" s="164" t="str">
        <f t="shared" si="51"/>
        <v/>
      </c>
      <c r="BZ58" s="164" t="str">
        <f t="shared" si="51"/>
        <v/>
      </c>
      <c r="CA58" s="164" t="str">
        <f t="shared" si="51"/>
        <v/>
      </c>
      <c r="CB58" s="169" t="str">
        <f t="shared" si="51"/>
        <v/>
      </c>
      <c r="CC58" s="169" t="str">
        <f t="shared" si="51"/>
        <v/>
      </c>
      <c r="CD58" s="169" t="str">
        <f t="shared" si="51"/>
        <v/>
      </c>
      <c r="CE58" s="169" t="str">
        <f t="shared" si="51"/>
        <v/>
      </c>
      <c r="CF58" s="169" t="str">
        <f t="shared" si="51"/>
        <v/>
      </c>
      <c r="CG58" s="164" t="str">
        <f t="shared" si="51"/>
        <v/>
      </c>
      <c r="CH58" s="164" t="str">
        <f t="shared" si="51"/>
        <v/>
      </c>
      <c r="CI58" s="164" t="str">
        <f t="shared" si="51"/>
        <v/>
      </c>
      <c r="CJ58" s="164" t="str">
        <f t="shared" si="51"/>
        <v/>
      </c>
      <c r="CK58" s="164" t="str">
        <f t="shared" si="51"/>
        <v/>
      </c>
      <c r="CL58" s="152" t="str">
        <f t="shared" si="51"/>
        <v/>
      </c>
      <c r="CM58" s="152" t="str">
        <f t="shared" si="51"/>
        <v/>
      </c>
      <c r="CN58" s="152" t="str">
        <f t="shared" si="51"/>
        <v/>
      </c>
      <c r="CO58" s="152" t="str">
        <f t="shared" si="51"/>
        <v/>
      </c>
      <c r="CP58" s="152" t="str">
        <f t="shared" si="51"/>
        <v/>
      </c>
      <c r="CQ58" s="152" t="str">
        <f t="shared" si="51"/>
        <v/>
      </c>
      <c r="CR58" s="152" t="str">
        <f t="shared" si="51"/>
        <v/>
      </c>
      <c r="CS58" s="152" t="str">
        <f t="shared" si="51"/>
        <v/>
      </c>
      <c r="CT58" s="152" t="str">
        <f t="shared" si="51"/>
        <v/>
      </c>
      <c r="CU58" s="152">
        <f t="shared" si="51"/>
        <v>1</v>
      </c>
    </row>
    <row r="59" ht="21.75" customHeight="1">
      <c r="B59" s="170" t="s">
        <v>227</v>
      </c>
      <c r="C59" s="117" t="s">
        <v>228</v>
      </c>
      <c r="D59" s="118" t="s">
        <v>66</v>
      </c>
      <c r="E59" s="119">
        <v>46272.0</v>
      </c>
      <c r="F59" s="119">
        <v>46367.0</v>
      </c>
      <c r="G59" s="120">
        <f t="shared" si="3"/>
        <v>70</v>
      </c>
      <c r="H59" s="171" t="s">
        <v>69</v>
      </c>
      <c r="I59" s="122">
        <v>0.0</v>
      </c>
      <c r="J59" s="136" t="str">
        <f t="shared" ref="J59:CU59" si="52">IF(AND(J$6&gt;=$E59,J$6&lt;=$F59),IF(NETWORKDAYS($E59,J$6)&lt;=ROUNDUP(NETWORKDAYS($E59,$F59)*$I59,0),2,1),"")</f>
        <v/>
      </c>
      <c r="K59" s="136" t="str">
        <f t="shared" si="52"/>
        <v/>
      </c>
      <c r="L59" s="136" t="str">
        <f t="shared" si="52"/>
        <v/>
      </c>
      <c r="M59" s="136" t="str">
        <f t="shared" si="52"/>
        <v/>
      </c>
      <c r="N59" s="136" t="str">
        <f t="shared" si="52"/>
        <v/>
      </c>
      <c r="O59" s="136" t="str">
        <f t="shared" si="52"/>
        <v/>
      </c>
      <c r="P59" s="136" t="str">
        <f t="shared" si="52"/>
        <v/>
      </c>
      <c r="Q59" s="136" t="str">
        <f t="shared" si="52"/>
        <v/>
      </c>
      <c r="R59" s="136" t="str">
        <f t="shared" si="52"/>
        <v/>
      </c>
      <c r="S59" s="136" t="str">
        <f t="shared" si="52"/>
        <v/>
      </c>
      <c r="T59" s="136" t="str">
        <f t="shared" si="52"/>
        <v/>
      </c>
      <c r="U59" s="136" t="str">
        <f t="shared" si="52"/>
        <v/>
      </c>
      <c r="V59" s="136" t="str">
        <f t="shared" si="52"/>
        <v/>
      </c>
      <c r="W59" s="136" t="str">
        <f t="shared" si="52"/>
        <v/>
      </c>
      <c r="X59" s="136" t="str">
        <f t="shared" si="52"/>
        <v/>
      </c>
      <c r="Y59" s="136" t="str">
        <f t="shared" si="52"/>
        <v/>
      </c>
      <c r="Z59" s="136" t="str">
        <f t="shared" si="52"/>
        <v/>
      </c>
      <c r="AA59" s="136" t="str">
        <f t="shared" si="52"/>
        <v/>
      </c>
      <c r="AB59" s="136" t="str">
        <f t="shared" si="52"/>
        <v/>
      </c>
      <c r="AC59" s="136" t="str">
        <f t="shared" si="52"/>
        <v/>
      </c>
      <c r="AD59" s="136">
        <f t="shared" si="52"/>
        <v>1</v>
      </c>
      <c r="AE59" s="136">
        <f t="shared" si="52"/>
        <v>1</v>
      </c>
      <c r="AF59" s="136">
        <f t="shared" si="52"/>
        <v>1</v>
      </c>
      <c r="AG59" s="136">
        <f t="shared" si="52"/>
        <v>1</v>
      </c>
      <c r="AH59" s="136">
        <f t="shared" si="52"/>
        <v>1</v>
      </c>
      <c r="AI59" s="136">
        <f t="shared" si="52"/>
        <v>1</v>
      </c>
      <c r="AJ59" s="136">
        <f t="shared" si="52"/>
        <v>1</v>
      </c>
      <c r="AK59" s="136">
        <f t="shared" si="52"/>
        <v>1</v>
      </c>
      <c r="AL59" s="136">
        <f t="shared" si="52"/>
        <v>1</v>
      </c>
      <c r="AM59" s="136">
        <f t="shared" si="52"/>
        <v>1</v>
      </c>
      <c r="AN59" s="136">
        <f t="shared" si="52"/>
        <v>1</v>
      </c>
      <c r="AO59" s="136">
        <f t="shared" si="52"/>
        <v>1</v>
      </c>
      <c r="AP59" s="136">
        <f t="shared" si="52"/>
        <v>1</v>
      </c>
      <c r="AQ59" s="136">
        <f t="shared" si="52"/>
        <v>1</v>
      </c>
      <c r="AR59" s="136">
        <f t="shared" si="52"/>
        <v>1</v>
      </c>
      <c r="AS59" s="136">
        <f t="shared" si="52"/>
        <v>1</v>
      </c>
      <c r="AT59" s="136">
        <f t="shared" si="52"/>
        <v>1</v>
      </c>
      <c r="AU59" s="136">
        <f t="shared" si="52"/>
        <v>1</v>
      </c>
      <c r="AV59" s="136">
        <f t="shared" si="52"/>
        <v>1</v>
      </c>
      <c r="AW59" s="136">
        <f t="shared" si="52"/>
        <v>1</v>
      </c>
      <c r="AX59" s="136">
        <f t="shared" si="52"/>
        <v>1</v>
      </c>
      <c r="AY59" s="136">
        <f t="shared" si="52"/>
        <v>1</v>
      </c>
      <c r="AZ59" s="136">
        <f t="shared" si="52"/>
        <v>1</v>
      </c>
      <c r="BA59" s="136">
        <f t="shared" si="52"/>
        <v>1</v>
      </c>
      <c r="BB59" s="136">
        <f t="shared" si="52"/>
        <v>1</v>
      </c>
      <c r="BC59" s="136">
        <f t="shared" si="52"/>
        <v>1</v>
      </c>
      <c r="BD59" s="136">
        <f t="shared" si="52"/>
        <v>1</v>
      </c>
      <c r="BE59" s="136">
        <f t="shared" si="52"/>
        <v>1</v>
      </c>
      <c r="BF59" s="136">
        <f t="shared" si="52"/>
        <v>1</v>
      </c>
      <c r="BG59" s="136">
        <f t="shared" si="52"/>
        <v>1</v>
      </c>
      <c r="BH59" s="136">
        <f t="shared" si="52"/>
        <v>1</v>
      </c>
      <c r="BI59" s="136">
        <f t="shared" si="52"/>
        <v>1</v>
      </c>
      <c r="BJ59" s="136">
        <f t="shared" si="52"/>
        <v>1</v>
      </c>
      <c r="BK59" s="136">
        <f t="shared" si="52"/>
        <v>1</v>
      </c>
      <c r="BL59" s="136">
        <f t="shared" si="52"/>
        <v>1</v>
      </c>
      <c r="BM59" s="136">
        <f t="shared" si="52"/>
        <v>1</v>
      </c>
      <c r="BN59" s="136">
        <f t="shared" si="52"/>
        <v>1</v>
      </c>
      <c r="BO59" s="136">
        <f t="shared" si="52"/>
        <v>1</v>
      </c>
      <c r="BP59" s="136">
        <f t="shared" si="52"/>
        <v>1</v>
      </c>
      <c r="BQ59" s="136">
        <f t="shared" si="52"/>
        <v>1</v>
      </c>
      <c r="BR59" s="136">
        <f t="shared" si="52"/>
        <v>1</v>
      </c>
      <c r="BS59" s="136">
        <f t="shared" si="52"/>
        <v>1</v>
      </c>
      <c r="BT59" s="136">
        <f t="shared" si="52"/>
        <v>1</v>
      </c>
      <c r="BU59" s="136">
        <f t="shared" si="52"/>
        <v>1</v>
      </c>
      <c r="BV59" s="136">
        <f t="shared" si="52"/>
        <v>1</v>
      </c>
      <c r="BW59" s="136">
        <f t="shared" si="52"/>
        <v>1</v>
      </c>
      <c r="BX59" s="136">
        <f t="shared" si="52"/>
        <v>1</v>
      </c>
      <c r="BY59" s="136">
        <f t="shared" si="52"/>
        <v>1</v>
      </c>
      <c r="BZ59" s="136">
        <f t="shared" si="52"/>
        <v>1</v>
      </c>
      <c r="CA59" s="136">
        <f t="shared" si="52"/>
        <v>1</v>
      </c>
      <c r="CB59" s="136">
        <f t="shared" si="52"/>
        <v>1</v>
      </c>
      <c r="CC59" s="136">
        <f t="shared" si="52"/>
        <v>1</v>
      </c>
      <c r="CD59" s="136">
        <f t="shared" si="52"/>
        <v>1</v>
      </c>
      <c r="CE59" s="136">
        <f t="shared" si="52"/>
        <v>1</v>
      </c>
      <c r="CF59" s="136">
        <f t="shared" si="52"/>
        <v>1</v>
      </c>
      <c r="CG59" s="136">
        <f t="shared" si="52"/>
        <v>1</v>
      </c>
      <c r="CH59" s="136">
        <f t="shared" si="52"/>
        <v>1</v>
      </c>
      <c r="CI59" s="136">
        <f t="shared" si="52"/>
        <v>1</v>
      </c>
      <c r="CJ59" s="136">
        <f t="shared" si="52"/>
        <v>1</v>
      </c>
      <c r="CK59" s="136">
        <f t="shared" si="52"/>
        <v>1</v>
      </c>
      <c r="CL59" s="136">
        <f t="shared" si="52"/>
        <v>1</v>
      </c>
      <c r="CM59" s="136">
        <f t="shared" si="52"/>
        <v>1</v>
      </c>
      <c r="CN59" s="136">
        <f t="shared" si="52"/>
        <v>1</v>
      </c>
      <c r="CO59" s="136">
        <f t="shared" si="52"/>
        <v>1</v>
      </c>
      <c r="CP59" s="136">
        <f t="shared" si="52"/>
        <v>1</v>
      </c>
      <c r="CQ59" s="136">
        <f t="shared" si="52"/>
        <v>1</v>
      </c>
      <c r="CR59" s="136">
        <f t="shared" si="52"/>
        <v>1</v>
      </c>
      <c r="CS59" s="136">
        <f t="shared" si="52"/>
        <v>1</v>
      </c>
      <c r="CT59" s="136">
        <f t="shared" si="52"/>
        <v>1</v>
      </c>
      <c r="CU59" s="136">
        <f t="shared" si="52"/>
        <v>1</v>
      </c>
    </row>
    <row r="60" ht="31.5" customHeight="1">
      <c r="B60" s="162" t="s">
        <v>229</v>
      </c>
      <c r="C60" s="154" t="s">
        <v>230</v>
      </c>
      <c r="D60" s="139" t="s">
        <v>66</v>
      </c>
      <c r="E60" s="140">
        <v>46272.0</v>
      </c>
      <c r="F60" s="140">
        <v>46367.0</v>
      </c>
      <c r="G60" s="141">
        <f t="shared" si="3"/>
        <v>70</v>
      </c>
      <c r="H60" s="163" t="s">
        <v>231</v>
      </c>
      <c r="I60" s="143">
        <v>0.0</v>
      </c>
      <c r="J60" s="164" t="str">
        <f t="shared" ref="J60:CU60" si="53">IF(AND(J$6&gt;=$E60,J$6&lt;=$F60),IF(NETWORKDAYS($E60,J$6)&lt;=ROUNDUP(NETWORKDAYS($E60,$F60)*$I60,0),2,1),"")</f>
        <v/>
      </c>
      <c r="K60" s="164" t="str">
        <f t="shared" si="53"/>
        <v/>
      </c>
      <c r="L60" s="164" t="str">
        <f t="shared" si="53"/>
        <v/>
      </c>
      <c r="M60" s="164" t="str">
        <f t="shared" si="53"/>
        <v/>
      </c>
      <c r="N60" s="164" t="str">
        <f t="shared" si="53"/>
        <v/>
      </c>
      <c r="O60" s="165" t="str">
        <f t="shared" si="53"/>
        <v/>
      </c>
      <c r="P60" s="165" t="str">
        <f t="shared" si="53"/>
        <v/>
      </c>
      <c r="Q60" s="165" t="str">
        <f t="shared" si="53"/>
        <v/>
      </c>
      <c r="R60" s="165" t="str">
        <f t="shared" si="53"/>
        <v/>
      </c>
      <c r="S60" s="165" t="str">
        <f t="shared" si="53"/>
        <v/>
      </c>
      <c r="T60" s="164" t="str">
        <f t="shared" si="53"/>
        <v/>
      </c>
      <c r="U60" s="164" t="str">
        <f t="shared" si="53"/>
        <v/>
      </c>
      <c r="V60" s="164" t="str">
        <f t="shared" si="53"/>
        <v/>
      </c>
      <c r="W60" s="164" t="str">
        <f t="shared" si="53"/>
        <v/>
      </c>
      <c r="X60" s="164" t="str">
        <f t="shared" si="53"/>
        <v/>
      </c>
      <c r="Y60" s="166" t="str">
        <f t="shared" si="53"/>
        <v/>
      </c>
      <c r="Z60" s="166" t="str">
        <f t="shared" si="53"/>
        <v/>
      </c>
      <c r="AA60" s="166" t="str">
        <f t="shared" si="53"/>
        <v/>
      </c>
      <c r="AB60" s="166" t="str">
        <f t="shared" si="53"/>
        <v/>
      </c>
      <c r="AC60" s="166" t="str">
        <f t="shared" si="53"/>
        <v/>
      </c>
      <c r="AD60" s="164">
        <f t="shared" si="53"/>
        <v>1</v>
      </c>
      <c r="AE60" s="164">
        <f t="shared" si="53"/>
        <v>1</v>
      </c>
      <c r="AF60" s="164">
        <f t="shared" si="53"/>
        <v>1</v>
      </c>
      <c r="AG60" s="164">
        <f t="shared" si="53"/>
        <v>1</v>
      </c>
      <c r="AH60" s="164">
        <f t="shared" si="53"/>
        <v>1</v>
      </c>
      <c r="AI60" s="167">
        <f t="shared" si="53"/>
        <v>1</v>
      </c>
      <c r="AJ60" s="167">
        <f t="shared" si="53"/>
        <v>1</v>
      </c>
      <c r="AK60" s="167">
        <f t="shared" si="53"/>
        <v>1</v>
      </c>
      <c r="AL60" s="167">
        <f t="shared" si="53"/>
        <v>1</v>
      </c>
      <c r="AM60" s="167">
        <f t="shared" si="53"/>
        <v>1</v>
      </c>
      <c r="AN60" s="164">
        <f t="shared" si="53"/>
        <v>1</v>
      </c>
      <c r="AO60" s="164">
        <f t="shared" si="53"/>
        <v>1</v>
      </c>
      <c r="AP60" s="164">
        <f t="shared" si="53"/>
        <v>1</v>
      </c>
      <c r="AQ60" s="164">
        <f t="shared" si="53"/>
        <v>1</v>
      </c>
      <c r="AR60" s="164">
        <f t="shared" si="53"/>
        <v>1</v>
      </c>
      <c r="AS60" s="167">
        <f t="shared" si="53"/>
        <v>1</v>
      </c>
      <c r="AT60" s="167">
        <f t="shared" si="53"/>
        <v>1</v>
      </c>
      <c r="AU60" s="167">
        <f t="shared" si="53"/>
        <v>1</v>
      </c>
      <c r="AV60" s="167">
        <f t="shared" si="53"/>
        <v>1</v>
      </c>
      <c r="AW60" s="167">
        <f t="shared" si="53"/>
        <v>1</v>
      </c>
      <c r="AX60" s="164">
        <f t="shared" si="53"/>
        <v>1</v>
      </c>
      <c r="AY60" s="164">
        <f t="shared" si="53"/>
        <v>1</v>
      </c>
      <c r="AZ60" s="164">
        <f t="shared" si="53"/>
        <v>1</v>
      </c>
      <c r="BA60" s="164">
        <f t="shared" si="53"/>
        <v>1</v>
      </c>
      <c r="BB60" s="164">
        <f t="shared" si="53"/>
        <v>1</v>
      </c>
      <c r="BC60" s="168">
        <f t="shared" si="53"/>
        <v>1</v>
      </c>
      <c r="BD60" s="168">
        <f t="shared" si="53"/>
        <v>1</v>
      </c>
      <c r="BE60" s="168">
        <f t="shared" si="53"/>
        <v>1</v>
      </c>
      <c r="BF60" s="168">
        <f t="shared" si="53"/>
        <v>1</v>
      </c>
      <c r="BG60" s="168">
        <f t="shared" si="53"/>
        <v>1</v>
      </c>
      <c r="BH60" s="164">
        <f t="shared" si="53"/>
        <v>1</v>
      </c>
      <c r="BI60" s="164">
        <f t="shared" si="53"/>
        <v>1</v>
      </c>
      <c r="BJ60" s="164">
        <f t="shared" si="53"/>
        <v>1</v>
      </c>
      <c r="BK60" s="164">
        <f t="shared" si="53"/>
        <v>1</v>
      </c>
      <c r="BL60" s="164">
        <f t="shared" si="53"/>
        <v>1</v>
      </c>
      <c r="BM60" s="168">
        <f t="shared" si="53"/>
        <v>1</v>
      </c>
      <c r="BN60" s="168">
        <f t="shared" si="53"/>
        <v>1</v>
      </c>
      <c r="BO60" s="168">
        <f t="shared" si="53"/>
        <v>1</v>
      </c>
      <c r="BP60" s="168">
        <f t="shared" si="53"/>
        <v>1</v>
      </c>
      <c r="BQ60" s="168">
        <f t="shared" si="53"/>
        <v>1</v>
      </c>
      <c r="BR60" s="169">
        <f t="shared" si="53"/>
        <v>1</v>
      </c>
      <c r="BS60" s="169">
        <f t="shared" si="53"/>
        <v>1</v>
      </c>
      <c r="BT60" s="169">
        <f t="shared" si="53"/>
        <v>1</v>
      </c>
      <c r="BU60" s="169">
        <f t="shared" si="53"/>
        <v>1</v>
      </c>
      <c r="BV60" s="169">
        <f t="shared" si="53"/>
        <v>1</v>
      </c>
      <c r="BW60" s="164">
        <f t="shared" si="53"/>
        <v>1</v>
      </c>
      <c r="BX60" s="164">
        <f t="shared" si="53"/>
        <v>1</v>
      </c>
      <c r="BY60" s="164">
        <f t="shared" si="53"/>
        <v>1</v>
      </c>
      <c r="BZ60" s="164">
        <f t="shared" si="53"/>
        <v>1</v>
      </c>
      <c r="CA60" s="164">
        <f t="shared" si="53"/>
        <v>1</v>
      </c>
      <c r="CB60" s="169">
        <f t="shared" si="53"/>
        <v>1</v>
      </c>
      <c r="CC60" s="169">
        <f t="shared" si="53"/>
        <v>1</v>
      </c>
      <c r="CD60" s="169">
        <f t="shared" si="53"/>
        <v>1</v>
      </c>
      <c r="CE60" s="169">
        <f t="shared" si="53"/>
        <v>1</v>
      </c>
      <c r="CF60" s="169">
        <f t="shared" si="53"/>
        <v>1</v>
      </c>
      <c r="CG60" s="164">
        <f t="shared" si="53"/>
        <v>1</v>
      </c>
      <c r="CH60" s="164">
        <f t="shared" si="53"/>
        <v>1</v>
      </c>
      <c r="CI60" s="164">
        <f t="shared" si="53"/>
        <v>1</v>
      </c>
      <c r="CJ60" s="164">
        <f t="shared" si="53"/>
        <v>1</v>
      </c>
      <c r="CK60" s="164">
        <f t="shared" si="53"/>
        <v>1</v>
      </c>
      <c r="CL60" s="152">
        <f t="shared" si="53"/>
        <v>1</v>
      </c>
      <c r="CM60" s="152">
        <f t="shared" si="53"/>
        <v>1</v>
      </c>
      <c r="CN60" s="152">
        <f t="shared" si="53"/>
        <v>1</v>
      </c>
      <c r="CO60" s="152">
        <f t="shared" si="53"/>
        <v>1</v>
      </c>
      <c r="CP60" s="152">
        <f t="shared" si="53"/>
        <v>1</v>
      </c>
      <c r="CQ60" s="152">
        <f t="shared" si="53"/>
        <v>1</v>
      </c>
      <c r="CR60" s="152">
        <f t="shared" si="53"/>
        <v>1</v>
      </c>
      <c r="CS60" s="152">
        <f t="shared" si="53"/>
        <v>1</v>
      </c>
      <c r="CT60" s="152">
        <f t="shared" si="53"/>
        <v>1</v>
      </c>
      <c r="CU60" s="152">
        <f t="shared" si="53"/>
        <v>1</v>
      </c>
    </row>
    <row r="61" ht="31.5" customHeight="1">
      <c r="B61" s="162" t="s">
        <v>232</v>
      </c>
      <c r="C61" s="154" t="s">
        <v>233</v>
      </c>
      <c r="D61" s="139" t="s">
        <v>66</v>
      </c>
      <c r="E61" s="140">
        <v>46273.0</v>
      </c>
      <c r="F61" s="140">
        <v>46367.0</v>
      </c>
      <c r="G61" s="141">
        <f t="shared" si="3"/>
        <v>69</v>
      </c>
      <c r="H61" s="163" t="s">
        <v>234</v>
      </c>
      <c r="I61" s="143">
        <v>0.0</v>
      </c>
      <c r="J61" s="164" t="str">
        <f t="shared" ref="J61:CU61" si="54">IF(AND(J$6&gt;=$E61,J$6&lt;=$F61),IF(NETWORKDAYS($E61,J$6)&lt;=ROUNDUP(NETWORKDAYS($E61,$F61)*$I61,0),2,1),"")</f>
        <v/>
      </c>
      <c r="K61" s="164" t="str">
        <f t="shared" si="54"/>
        <v/>
      </c>
      <c r="L61" s="164" t="str">
        <f t="shared" si="54"/>
        <v/>
      </c>
      <c r="M61" s="164" t="str">
        <f t="shared" si="54"/>
        <v/>
      </c>
      <c r="N61" s="164" t="str">
        <f t="shared" si="54"/>
        <v/>
      </c>
      <c r="O61" s="165" t="str">
        <f t="shared" si="54"/>
        <v/>
      </c>
      <c r="P61" s="165" t="str">
        <f t="shared" si="54"/>
        <v/>
      </c>
      <c r="Q61" s="165" t="str">
        <f t="shared" si="54"/>
        <v/>
      </c>
      <c r="R61" s="165" t="str">
        <f t="shared" si="54"/>
        <v/>
      </c>
      <c r="S61" s="165" t="str">
        <f t="shared" si="54"/>
        <v/>
      </c>
      <c r="T61" s="164" t="str">
        <f t="shared" si="54"/>
        <v/>
      </c>
      <c r="U61" s="164" t="str">
        <f t="shared" si="54"/>
        <v/>
      </c>
      <c r="V61" s="164" t="str">
        <f t="shared" si="54"/>
        <v/>
      </c>
      <c r="W61" s="164" t="str">
        <f t="shared" si="54"/>
        <v/>
      </c>
      <c r="X61" s="164" t="str">
        <f t="shared" si="54"/>
        <v/>
      </c>
      <c r="Y61" s="166" t="str">
        <f t="shared" si="54"/>
        <v/>
      </c>
      <c r="Z61" s="166" t="str">
        <f t="shared" si="54"/>
        <v/>
      </c>
      <c r="AA61" s="166" t="str">
        <f t="shared" si="54"/>
        <v/>
      </c>
      <c r="AB61" s="166" t="str">
        <f t="shared" si="54"/>
        <v/>
      </c>
      <c r="AC61" s="166" t="str">
        <f t="shared" si="54"/>
        <v/>
      </c>
      <c r="AD61" s="164" t="str">
        <f t="shared" si="54"/>
        <v/>
      </c>
      <c r="AE61" s="164">
        <f t="shared" si="54"/>
        <v>1</v>
      </c>
      <c r="AF61" s="164">
        <f t="shared" si="54"/>
        <v>1</v>
      </c>
      <c r="AG61" s="164">
        <f t="shared" si="54"/>
        <v>1</v>
      </c>
      <c r="AH61" s="164">
        <f t="shared" si="54"/>
        <v>1</v>
      </c>
      <c r="AI61" s="167">
        <f t="shared" si="54"/>
        <v>1</v>
      </c>
      <c r="AJ61" s="167">
        <f t="shared" si="54"/>
        <v>1</v>
      </c>
      <c r="AK61" s="167">
        <f t="shared" si="54"/>
        <v>1</v>
      </c>
      <c r="AL61" s="167">
        <f t="shared" si="54"/>
        <v>1</v>
      </c>
      <c r="AM61" s="167">
        <f t="shared" si="54"/>
        <v>1</v>
      </c>
      <c r="AN61" s="164">
        <f t="shared" si="54"/>
        <v>1</v>
      </c>
      <c r="AO61" s="164">
        <f t="shared" si="54"/>
        <v>1</v>
      </c>
      <c r="AP61" s="164">
        <f t="shared" si="54"/>
        <v>1</v>
      </c>
      <c r="AQ61" s="164">
        <f t="shared" si="54"/>
        <v>1</v>
      </c>
      <c r="AR61" s="164">
        <f t="shared" si="54"/>
        <v>1</v>
      </c>
      <c r="AS61" s="167">
        <f t="shared" si="54"/>
        <v>1</v>
      </c>
      <c r="AT61" s="167">
        <f t="shared" si="54"/>
        <v>1</v>
      </c>
      <c r="AU61" s="167">
        <f t="shared" si="54"/>
        <v>1</v>
      </c>
      <c r="AV61" s="167">
        <f t="shared" si="54"/>
        <v>1</v>
      </c>
      <c r="AW61" s="167">
        <f t="shared" si="54"/>
        <v>1</v>
      </c>
      <c r="AX61" s="164">
        <f t="shared" si="54"/>
        <v>1</v>
      </c>
      <c r="AY61" s="164">
        <f t="shared" si="54"/>
        <v>1</v>
      </c>
      <c r="AZ61" s="164">
        <f t="shared" si="54"/>
        <v>1</v>
      </c>
      <c r="BA61" s="164">
        <f t="shared" si="54"/>
        <v>1</v>
      </c>
      <c r="BB61" s="164">
        <f t="shared" si="54"/>
        <v>1</v>
      </c>
      <c r="BC61" s="168">
        <f t="shared" si="54"/>
        <v>1</v>
      </c>
      <c r="BD61" s="168">
        <f t="shared" si="54"/>
        <v>1</v>
      </c>
      <c r="BE61" s="168">
        <f t="shared" si="54"/>
        <v>1</v>
      </c>
      <c r="BF61" s="168">
        <f t="shared" si="54"/>
        <v>1</v>
      </c>
      <c r="BG61" s="168">
        <f t="shared" si="54"/>
        <v>1</v>
      </c>
      <c r="BH61" s="164">
        <f t="shared" si="54"/>
        <v>1</v>
      </c>
      <c r="BI61" s="164">
        <f t="shared" si="54"/>
        <v>1</v>
      </c>
      <c r="BJ61" s="164">
        <f t="shared" si="54"/>
        <v>1</v>
      </c>
      <c r="BK61" s="164">
        <f t="shared" si="54"/>
        <v>1</v>
      </c>
      <c r="BL61" s="164">
        <f t="shared" si="54"/>
        <v>1</v>
      </c>
      <c r="BM61" s="168">
        <f t="shared" si="54"/>
        <v>1</v>
      </c>
      <c r="BN61" s="168">
        <f t="shared" si="54"/>
        <v>1</v>
      </c>
      <c r="BO61" s="168">
        <f t="shared" si="54"/>
        <v>1</v>
      </c>
      <c r="BP61" s="168">
        <f t="shared" si="54"/>
        <v>1</v>
      </c>
      <c r="BQ61" s="168">
        <f t="shared" si="54"/>
        <v>1</v>
      </c>
      <c r="BR61" s="169">
        <f t="shared" si="54"/>
        <v>1</v>
      </c>
      <c r="BS61" s="169">
        <f t="shared" si="54"/>
        <v>1</v>
      </c>
      <c r="BT61" s="169">
        <f t="shared" si="54"/>
        <v>1</v>
      </c>
      <c r="BU61" s="169">
        <f t="shared" si="54"/>
        <v>1</v>
      </c>
      <c r="BV61" s="169">
        <f t="shared" si="54"/>
        <v>1</v>
      </c>
      <c r="BW61" s="164">
        <f t="shared" si="54"/>
        <v>1</v>
      </c>
      <c r="BX61" s="164">
        <f t="shared" si="54"/>
        <v>1</v>
      </c>
      <c r="BY61" s="164">
        <f t="shared" si="54"/>
        <v>1</v>
      </c>
      <c r="BZ61" s="164">
        <f t="shared" si="54"/>
        <v>1</v>
      </c>
      <c r="CA61" s="164">
        <f t="shared" si="54"/>
        <v>1</v>
      </c>
      <c r="CB61" s="169">
        <f t="shared" si="54"/>
        <v>1</v>
      </c>
      <c r="CC61" s="169">
        <f t="shared" si="54"/>
        <v>1</v>
      </c>
      <c r="CD61" s="169">
        <f t="shared" si="54"/>
        <v>1</v>
      </c>
      <c r="CE61" s="169">
        <f t="shared" si="54"/>
        <v>1</v>
      </c>
      <c r="CF61" s="169">
        <f t="shared" si="54"/>
        <v>1</v>
      </c>
      <c r="CG61" s="164">
        <f t="shared" si="54"/>
        <v>1</v>
      </c>
      <c r="CH61" s="164">
        <f t="shared" si="54"/>
        <v>1</v>
      </c>
      <c r="CI61" s="164">
        <f t="shared" si="54"/>
        <v>1</v>
      </c>
      <c r="CJ61" s="164">
        <f t="shared" si="54"/>
        <v>1</v>
      </c>
      <c r="CK61" s="164">
        <f t="shared" si="54"/>
        <v>1</v>
      </c>
      <c r="CL61" s="152">
        <f t="shared" si="54"/>
        <v>1</v>
      </c>
      <c r="CM61" s="152">
        <f t="shared" si="54"/>
        <v>1</v>
      </c>
      <c r="CN61" s="152">
        <f t="shared" si="54"/>
        <v>1</v>
      </c>
      <c r="CO61" s="152">
        <f t="shared" si="54"/>
        <v>1</v>
      </c>
      <c r="CP61" s="152">
        <f t="shared" si="54"/>
        <v>1</v>
      </c>
      <c r="CQ61" s="152">
        <f t="shared" si="54"/>
        <v>1</v>
      </c>
      <c r="CR61" s="152">
        <f t="shared" si="54"/>
        <v>1</v>
      </c>
      <c r="CS61" s="152">
        <f t="shared" si="54"/>
        <v>1</v>
      </c>
      <c r="CT61" s="152">
        <f t="shared" si="54"/>
        <v>1</v>
      </c>
      <c r="CU61" s="152">
        <f t="shared" si="54"/>
        <v>1</v>
      </c>
    </row>
    <row r="62" ht="31.5" customHeight="1">
      <c r="B62" s="162" t="s">
        <v>235</v>
      </c>
      <c r="C62" s="154" t="s">
        <v>236</v>
      </c>
      <c r="D62" s="139" t="s">
        <v>66</v>
      </c>
      <c r="E62" s="140">
        <v>46272.0</v>
      </c>
      <c r="F62" s="140">
        <v>46367.0</v>
      </c>
      <c r="G62" s="141">
        <f t="shared" si="3"/>
        <v>70</v>
      </c>
      <c r="H62" s="163" t="s">
        <v>237</v>
      </c>
      <c r="I62" s="143">
        <v>0.0</v>
      </c>
      <c r="J62" s="164" t="str">
        <f t="shared" ref="J62:CU62" si="55">IF(AND(J$6&gt;=$E62,J$6&lt;=$F62),IF(NETWORKDAYS($E62,J$6)&lt;=ROUNDUP(NETWORKDAYS($E62,$F62)*$I62,0),2,1),"")</f>
        <v/>
      </c>
      <c r="K62" s="164" t="str">
        <f t="shared" si="55"/>
        <v/>
      </c>
      <c r="L62" s="164" t="str">
        <f t="shared" si="55"/>
        <v/>
      </c>
      <c r="M62" s="164" t="str">
        <f t="shared" si="55"/>
        <v/>
      </c>
      <c r="N62" s="164" t="str">
        <f t="shared" si="55"/>
        <v/>
      </c>
      <c r="O62" s="165" t="str">
        <f t="shared" si="55"/>
        <v/>
      </c>
      <c r="P62" s="165" t="str">
        <f t="shared" si="55"/>
        <v/>
      </c>
      <c r="Q62" s="165" t="str">
        <f t="shared" si="55"/>
        <v/>
      </c>
      <c r="R62" s="165" t="str">
        <f t="shared" si="55"/>
        <v/>
      </c>
      <c r="S62" s="165" t="str">
        <f t="shared" si="55"/>
        <v/>
      </c>
      <c r="T62" s="164" t="str">
        <f t="shared" si="55"/>
        <v/>
      </c>
      <c r="U62" s="164" t="str">
        <f t="shared" si="55"/>
        <v/>
      </c>
      <c r="V62" s="164" t="str">
        <f t="shared" si="55"/>
        <v/>
      </c>
      <c r="W62" s="164" t="str">
        <f t="shared" si="55"/>
        <v/>
      </c>
      <c r="X62" s="164" t="str">
        <f t="shared" si="55"/>
        <v/>
      </c>
      <c r="Y62" s="166" t="str">
        <f t="shared" si="55"/>
        <v/>
      </c>
      <c r="Z62" s="166" t="str">
        <f t="shared" si="55"/>
        <v/>
      </c>
      <c r="AA62" s="166" t="str">
        <f t="shared" si="55"/>
        <v/>
      </c>
      <c r="AB62" s="166" t="str">
        <f t="shared" si="55"/>
        <v/>
      </c>
      <c r="AC62" s="166" t="str">
        <f t="shared" si="55"/>
        <v/>
      </c>
      <c r="AD62" s="164">
        <f t="shared" si="55"/>
        <v>1</v>
      </c>
      <c r="AE62" s="164">
        <f t="shared" si="55"/>
        <v>1</v>
      </c>
      <c r="AF62" s="164">
        <f t="shared" si="55"/>
        <v>1</v>
      </c>
      <c r="AG62" s="164">
        <f t="shared" si="55"/>
        <v>1</v>
      </c>
      <c r="AH62" s="164">
        <f t="shared" si="55"/>
        <v>1</v>
      </c>
      <c r="AI62" s="167">
        <f t="shared" si="55"/>
        <v>1</v>
      </c>
      <c r="AJ62" s="167">
        <f t="shared" si="55"/>
        <v>1</v>
      </c>
      <c r="AK62" s="167">
        <f t="shared" si="55"/>
        <v>1</v>
      </c>
      <c r="AL62" s="167">
        <f t="shared" si="55"/>
        <v>1</v>
      </c>
      <c r="AM62" s="167">
        <f t="shared" si="55"/>
        <v>1</v>
      </c>
      <c r="AN62" s="164">
        <f t="shared" si="55"/>
        <v>1</v>
      </c>
      <c r="AO62" s="164">
        <f t="shared" si="55"/>
        <v>1</v>
      </c>
      <c r="AP62" s="164">
        <f t="shared" si="55"/>
        <v>1</v>
      </c>
      <c r="AQ62" s="164">
        <f t="shared" si="55"/>
        <v>1</v>
      </c>
      <c r="AR62" s="164">
        <f t="shared" si="55"/>
        <v>1</v>
      </c>
      <c r="AS62" s="167">
        <f t="shared" si="55"/>
        <v>1</v>
      </c>
      <c r="AT62" s="167">
        <f t="shared" si="55"/>
        <v>1</v>
      </c>
      <c r="AU62" s="167">
        <f t="shared" si="55"/>
        <v>1</v>
      </c>
      <c r="AV62" s="167">
        <f t="shared" si="55"/>
        <v>1</v>
      </c>
      <c r="AW62" s="167">
        <f t="shared" si="55"/>
        <v>1</v>
      </c>
      <c r="AX62" s="164">
        <f t="shared" si="55"/>
        <v>1</v>
      </c>
      <c r="AY62" s="164">
        <f t="shared" si="55"/>
        <v>1</v>
      </c>
      <c r="AZ62" s="164">
        <f t="shared" si="55"/>
        <v>1</v>
      </c>
      <c r="BA62" s="164">
        <f t="shared" si="55"/>
        <v>1</v>
      </c>
      <c r="BB62" s="164">
        <f t="shared" si="55"/>
        <v>1</v>
      </c>
      <c r="BC62" s="168">
        <f t="shared" si="55"/>
        <v>1</v>
      </c>
      <c r="BD62" s="168">
        <f t="shared" si="55"/>
        <v>1</v>
      </c>
      <c r="BE62" s="168">
        <f t="shared" si="55"/>
        <v>1</v>
      </c>
      <c r="BF62" s="168">
        <f t="shared" si="55"/>
        <v>1</v>
      </c>
      <c r="BG62" s="168">
        <f t="shared" si="55"/>
        <v>1</v>
      </c>
      <c r="BH62" s="164">
        <f t="shared" si="55"/>
        <v>1</v>
      </c>
      <c r="BI62" s="164">
        <f t="shared" si="55"/>
        <v>1</v>
      </c>
      <c r="BJ62" s="164">
        <f t="shared" si="55"/>
        <v>1</v>
      </c>
      <c r="BK62" s="164">
        <f t="shared" si="55"/>
        <v>1</v>
      </c>
      <c r="BL62" s="164">
        <f t="shared" si="55"/>
        <v>1</v>
      </c>
      <c r="BM62" s="168">
        <f t="shared" si="55"/>
        <v>1</v>
      </c>
      <c r="BN62" s="168">
        <f t="shared" si="55"/>
        <v>1</v>
      </c>
      <c r="BO62" s="168">
        <f t="shared" si="55"/>
        <v>1</v>
      </c>
      <c r="BP62" s="168">
        <f t="shared" si="55"/>
        <v>1</v>
      </c>
      <c r="BQ62" s="168">
        <f t="shared" si="55"/>
        <v>1</v>
      </c>
      <c r="BR62" s="169">
        <f t="shared" si="55"/>
        <v>1</v>
      </c>
      <c r="BS62" s="169">
        <f t="shared" si="55"/>
        <v>1</v>
      </c>
      <c r="BT62" s="169">
        <f t="shared" si="55"/>
        <v>1</v>
      </c>
      <c r="BU62" s="169">
        <f t="shared" si="55"/>
        <v>1</v>
      </c>
      <c r="BV62" s="169">
        <f t="shared" si="55"/>
        <v>1</v>
      </c>
      <c r="BW62" s="164">
        <f t="shared" si="55"/>
        <v>1</v>
      </c>
      <c r="BX62" s="164">
        <f t="shared" si="55"/>
        <v>1</v>
      </c>
      <c r="BY62" s="164">
        <f t="shared" si="55"/>
        <v>1</v>
      </c>
      <c r="BZ62" s="164">
        <f t="shared" si="55"/>
        <v>1</v>
      </c>
      <c r="CA62" s="164">
        <f t="shared" si="55"/>
        <v>1</v>
      </c>
      <c r="CB62" s="169">
        <f t="shared" si="55"/>
        <v>1</v>
      </c>
      <c r="CC62" s="169">
        <f t="shared" si="55"/>
        <v>1</v>
      </c>
      <c r="CD62" s="169">
        <f t="shared" si="55"/>
        <v>1</v>
      </c>
      <c r="CE62" s="169">
        <f t="shared" si="55"/>
        <v>1</v>
      </c>
      <c r="CF62" s="169">
        <f t="shared" si="55"/>
        <v>1</v>
      </c>
      <c r="CG62" s="164">
        <f t="shared" si="55"/>
        <v>1</v>
      </c>
      <c r="CH62" s="164">
        <f t="shared" si="55"/>
        <v>1</v>
      </c>
      <c r="CI62" s="164">
        <f t="shared" si="55"/>
        <v>1</v>
      </c>
      <c r="CJ62" s="164">
        <f t="shared" si="55"/>
        <v>1</v>
      </c>
      <c r="CK62" s="164">
        <f t="shared" si="55"/>
        <v>1</v>
      </c>
      <c r="CL62" s="152">
        <f t="shared" si="55"/>
        <v>1</v>
      </c>
      <c r="CM62" s="152">
        <f t="shared" si="55"/>
        <v>1</v>
      </c>
      <c r="CN62" s="152">
        <f t="shared" si="55"/>
        <v>1</v>
      </c>
      <c r="CO62" s="152">
        <f t="shared" si="55"/>
        <v>1</v>
      </c>
      <c r="CP62" s="152">
        <f t="shared" si="55"/>
        <v>1</v>
      </c>
      <c r="CQ62" s="152">
        <f t="shared" si="55"/>
        <v>1</v>
      </c>
      <c r="CR62" s="152">
        <f t="shared" si="55"/>
        <v>1</v>
      </c>
      <c r="CS62" s="152">
        <f t="shared" si="55"/>
        <v>1</v>
      </c>
      <c r="CT62" s="152">
        <f t="shared" si="55"/>
        <v>1</v>
      </c>
      <c r="CU62" s="152">
        <f t="shared" si="55"/>
        <v>1</v>
      </c>
    </row>
    <row r="63" ht="31.5" customHeight="1">
      <c r="B63" s="162" t="s">
        <v>238</v>
      </c>
      <c r="C63" s="154" t="s">
        <v>239</v>
      </c>
      <c r="D63" s="139" t="s">
        <v>108</v>
      </c>
      <c r="E63" s="140">
        <v>46293.0</v>
      </c>
      <c r="F63" s="140">
        <v>46332.0</v>
      </c>
      <c r="G63" s="141">
        <f t="shared" si="3"/>
        <v>30</v>
      </c>
      <c r="H63" s="163" t="s">
        <v>240</v>
      </c>
      <c r="I63" s="143">
        <v>0.0</v>
      </c>
      <c r="J63" s="164" t="str">
        <f t="shared" ref="J63:CU63" si="56">IF(AND(J$6&gt;=$E63,J$6&lt;=$F63),IF(NETWORKDAYS($E63,J$6)&lt;=ROUNDUP(NETWORKDAYS($E63,$F63)*$I63,0),2,1),"")</f>
        <v/>
      </c>
      <c r="K63" s="164" t="str">
        <f t="shared" si="56"/>
        <v/>
      </c>
      <c r="L63" s="164" t="str">
        <f t="shared" si="56"/>
        <v/>
      </c>
      <c r="M63" s="164" t="str">
        <f t="shared" si="56"/>
        <v/>
      </c>
      <c r="N63" s="164" t="str">
        <f t="shared" si="56"/>
        <v/>
      </c>
      <c r="O63" s="165" t="str">
        <f t="shared" si="56"/>
        <v/>
      </c>
      <c r="P63" s="165" t="str">
        <f t="shared" si="56"/>
        <v/>
      </c>
      <c r="Q63" s="165" t="str">
        <f t="shared" si="56"/>
        <v/>
      </c>
      <c r="R63" s="165" t="str">
        <f t="shared" si="56"/>
        <v/>
      </c>
      <c r="S63" s="165" t="str">
        <f t="shared" si="56"/>
        <v/>
      </c>
      <c r="T63" s="164" t="str">
        <f t="shared" si="56"/>
        <v/>
      </c>
      <c r="U63" s="164" t="str">
        <f t="shared" si="56"/>
        <v/>
      </c>
      <c r="V63" s="164" t="str">
        <f t="shared" si="56"/>
        <v/>
      </c>
      <c r="W63" s="164" t="str">
        <f t="shared" si="56"/>
        <v/>
      </c>
      <c r="X63" s="164" t="str">
        <f t="shared" si="56"/>
        <v/>
      </c>
      <c r="Y63" s="166" t="str">
        <f t="shared" si="56"/>
        <v/>
      </c>
      <c r="Z63" s="166" t="str">
        <f t="shared" si="56"/>
        <v/>
      </c>
      <c r="AA63" s="166" t="str">
        <f t="shared" si="56"/>
        <v/>
      </c>
      <c r="AB63" s="166" t="str">
        <f t="shared" si="56"/>
        <v/>
      </c>
      <c r="AC63" s="166" t="str">
        <f t="shared" si="56"/>
        <v/>
      </c>
      <c r="AD63" s="164" t="str">
        <f t="shared" si="56"/>
        <v/>
      </c>
      <c r="AE63" s="164" t="str">
        <f t="shared" si="56"/>
        <v/>
      </c>
      <c r="AF63" s="164" t="str">
        <f t="shared" si="56"/>
        <v/>
      </c>
      <c r="AG63" s="164" t="str">
        <f t="shared" si="56"/>
        <v/>
      </c>
      <c r="AH63" s="164" t="str">
        <f t="shared" si="56"/>
        <v/>
      </c>
      <c r="AI63" s="167" t="str">
        <f t="shared" si="56"/>
        <v/>
      </c>
      <c r="AJ63" s="167" t="str">
        <f t="shared" si="56"/>
        <v/>
      </c>
      <c r="AK63" s="167" t="str">
        <f t="shared" si="56"/>
        <v/>
      </c>
      <c r="AL63" s="167" t="str">
        <f t="shared" si="56"/>
        <v/>
      </c>
      <c r="AM63" s="167" t="str">
        <f t="shared" si="56"/>
        <v/>
      </c>
      <c r="AN63" s="164" t="str">
        <f t="shared" si="56"/>
        <v/>
      </c>
      <c r="AO63" s="164" t="str">
        <f t="shared" si="56"/>
        <v/>
      </c>
      <c r="AP63" s="164" t="str">
        <f t="shared" si="56"/>
        <v/>
      </c>
      <c r="AQ63" s="164" t="str">
        <f t="shared" si="56"/>
        <v/>
      </c>
      <c r="AR63" s="164" t="str">
        <f t="shared" si="56"/>
        <v/>
      </c>
      <c r="AS63" s="167">
        <f t="shared" si="56"/>
        <v>1</v>
      </c>
      <c r="AT63" s="167">
        <f t="shared" si="56"/>
        <v>1</v>
      </c>
      <c r="AU63" s="167">
        <f t="shared" si="56"/>
        <v>1</v>
      </c>
      <c r="AV63" s="167">
        <f t="shared" si="56"/>
        <v>1</v>
      </c>
      <c r="AW63" s="167">
        <f t="shared" si="56"/>
        <v>1</v>
      </c>
      <c r="AX63" s="164">
        <f t="shared" si="56"/>
        <v>1</v>
      </c>
      <c r="AY63" s="164">
        <f t="shared" si="56"/>
        <v>1</v>
      </c>
      <c r="AZ63" s="164">
        <f t="shared" si="56"/>
        <v>1</v>
      </c>
      <c r="BA63" s="164">
        <f t="shared" si="56"/>
        <v>1</v>
      </c>
      <c r="BB63" s="164">
        <f t="shared" si="56"/>
        <v>1</v>
      </c>
      <c r="BC63" s="168">
        <f t="shared" si="56"/>
        <v>1</v>
      </c>
      <c r="BD63" s="168">
        <f t="shared" si="56"/>
        <v>1</v>
      </c>
      <c r="BE63" s="168">
        <f t="shared" si="56"/>
        <v>1</v>
      </c>
      <c r="BF63" s="168">
        <f t="shared" si="56"/>
        <v>1</v>
      </c>
      <c r="BG63" s="168">
        <f t="shared" si="56"/>
        <v>1</v>
      </c>
      <c r="BH63" s="164">
        <f t="shared" si="56"/>
        <v>1</v>
      </c>
      <c r="BI63" s="164">
        <f t="shared" si="56"/>
        <v>1</v>
      </c>
      <c r="BJ63" s="164">
        <f t="shared" si="56"/>
        <v>1</v>
      </c>
      <c r="BK63" s="164">
        <f t="shared" si="56"/>
        <v>1</v>
      </c>
      <c r="BL63" s="164">
        <f t="shared" si="56"/>
        <v>1</v>
      </c>
      <c r="BM63" s="168">
        <f t="shared" si="56"/>
        <v>1</v>
      </c>
      <c r="BN63" s="168">
        <f t="shared" si="56"/>
        <v>1</v>
      </c>
      <c r="BO63" s="168">
        <f t="shared" si="56"/>
        <v>1</v>
      </c>
      <c r="BP63" s="168">
        <f t="shared" si="56"/>
        <v>1</v>
      </c>
      <c r="BQ63" s="168">
        <f t="shared" si="56"/>
        <v>1</v>
      </c>
      <c r="BR63" s="169">
        <f t="shared" si="56"/>
        <v>1</v>
      </c>
      <c r="BS63" s="169">
        <f t="shared" si="56"/>
        <v>1</v>
      </c>
      <c r="BT63" s="169">
        <f t="shared" si="56"/>
        <v>1</v>
      </c>
      <c r="BU63" s="169">
        <f t="shared" si="56"/>
        <v>1</v>
      </c>
      <c r="BV63" s="169">
        <f t="shared" si="56"/>
        <v>1</v>
      </c>
      <c r="BW63" s="164" t="str">
        <f t="shared" si="56"/>
        <v/>
      </c>
      <c r="BX63" s="164" t="str">
        <f t="shared" si="56"/>
        <v/>
      </c>
      <c r="BY63" s="164" t="str">
        <f t="shared" si="56"/>
        <v/>
      </c>
      <c r="BZ63" s="164" t="str">
        <f t="shared" si="56"/>
        <v/>
      </c>
      <c r="CA63" s="164" t="str">
        <f t="shared" si="56"/>
        <v/>
      </c>
      <c r="CB63" s="169" t="str">
        <f t="shared" si="56"/>
        <v/>
      </c>
      <c r="CC63" s="169" t="str">
        <f t="shared" si="56"/>
        <v/>
      </c>
      <c r="CD63" s="169" t="str">
        <f t="shared" si="56"/>
        <v/>
      </c>
      <c r="CE63" s="169" t="str">
        <f t="shared" si="56"/>
        <v/>
      </c>
      <c r="CF63" s="169" t="str">
        <f t="shared" si="56"/>
        <v/>
      </c>
      <c r="CG63" s="164" t="str">
        <f t="shared" si="56"/>
        <v/>
      </c>
      <c r="CH63" s="164" t="str">
        <f t="shared" si="56"/>
        <v/>
      </c>
      <c r="CI63" s="164" t="str">
        <f t="shared" si="56"/>
        <v/>
      </c>
      <c r="CJ63" s="164" t="str">
        <f t="shared" si="56"/>
        <v/>
      </c>
      <c r="CK63" s="164" t="str">
        <f t="shared" si="56"/>
        <v/>
      </c>
      <c r="CL63" s="152" t="str">
        <f t="shared" si="56"/>
        <v/>
      </c>
      <c r="CM63" s="152" t="str">
        <f t="shared" si="56"/>
        <v/>
      </c>
      <c r="CN63" s="152" t="str">
        <f t="shared" si="56"/>
        <v/>
      </c>
      <c r="CO63" s="152" t="str">
        <f t="shared" si="56"/>
        <v/>
      </c>
      <c r="CP63" s="152" t="str">
        <f t="shared" si="56"/>
        <v/>
      </c>
      <c r="CQ63" s="152" t="str">
        <f t="shared" si="56"/>
        <v/>
      </c>
      <c r="CR63" s="152" t="str">
        <f t="shared" si="56"/>
        <v/>
      </c>
      <c r="CS63" s="152" t="str">
        <f t="shared" si="56"/>
        <v/>
      </c>
      <c r="CT63" s="152" t="str">
        <f t="shared" si="56"/>
        <v/>
      </c>
      <c r="CU63" s="152" t="str">
        <f t="shared" si="56"/>
        <v/>
      </c>
    </row>
    <row r="64" ht="31.5" customHeight="1">
      <c r="B64" s="162" t="s">
        <v>241</v>
      </c>
      <c r="C64" s="154" t="s">
        <v>242</v>
      </c>
      <c r="D64" s="139" t="s">
        <v>66</v>
      </c>
      <c r="E64" s="140">
        <v>46311.0</v>
      </c>
      <c r="F64" s="140">
        <v>46311.0</v>
      </c>
      <c r="G64" s="141">
        <f t="shared" si="3"/>
        <v>1</v>
      </c>
      <c r="H64" s="163" t="s">
        <v>243</v>
      </c>
      <c r="I64" s="143">
        <v>0.0</v>
      </c>
      <c r="J64" s="164" t="str">
        <f t="shared" ref="J64:CU64" si="57">IF(AND(J$6&gt;=$E64,J$6&lt;=$F64),IF(NETWORKDAYS($E64,J$6)&lt;=ROUNDUP(NETWORKDAYS($E64,$F64)*$I64,0),2,1),"")</f>
        <v/>
      </c>
      <c r="K64" s="164" t="str">
        <f t="shared" si="57"/>
        <v/>
      </c>
      <c r="L64" s="164" t="str">
        <f t="shared" si="57"/>
        <v/>
      </c>
      <c r="M64" s="164" t="str">
        <f t="shared" si="57"/>
        <v/>
      </c>
      <c r="N64" s="164" t="str">
        <f t="shared" si="57"/>
        <v/>
      </c>
      <c r="O64" s="165" t="str">
        <f t="shared" si="57"/>
        <v/>
      </c>
      <c r="P64" s="165" t="str">
        <f t="shared" si="57"/>
        <v/>
      </c>
      <c r="Q64" s="165" t="str">
        <f t="shared" si="57"/>
        <v/>
      </c>
      <c r="R64" s="165" t="str">
        <f t="shared" si="57"/>
        <v/>
      </c>
      <c r="S64" s="165" t="str">
        <f t="shared" si="57"/>
        <v/>
      </c>
      <c r="T64" s="164" t="str">
        <f t="shared" si="57"/>
        <v/>
      </c>
      <c r="U64" s="164" t="str">
        <f t="shared" si="57"/>
        <v/>
      </c>
      <c r="V64" s="164" t="str">
        <f t="shared" si="57"/>
        <v/>
      </c>
      <c r="W64" s="164" t="str">
        <f t="shared" si="57"/>
        <v/>
      </c>
      <c r="X64" s="164" t="str">
        <f t="shared" si="57"/>
        <v/>
      </c>
      <c r="Y64" s="166" t="str">
        <f t="shared" si="57"/>
        <v/>
      </c>
      <c r="Z64" s="166" t="str">
        <f t="shared" si="57"/>
        <v/>
      </c>
      <c r="AA64" s="166" t="str">
        <f t="shared" si="57"/>
        <v/>
      </c>
      <c r="AB64" s="166" t="str">
        <f t="shared" si="57"/>
        <v/>
      </c>
      <c r="AC64" s="166" t="str">
        <f t="shared" si="57"/>
        <v/>
      </c>
      <c r="AD64" s="164" t="str">
        <f t="shared" si="57"/>
        <v/>
      </c>
      <c r="AE64" s="164" t="str">
        <f t="shared" si="57"/>
        <v/>
      </c>
      <c r="AF64" s="164" t="str">
        <f t="shared" si="57"/>
        <v/>
      </c>
      <c r="AG64" s="164" t="str">
        <f t="shared" si="57"/>
        <v/>
      </c>
      <c r="AH64" s="164" t="str">
        <f t="shared" si="57"/>
        <v/>
      </c>
      <c r="AI64" s="167" t="str">
        <f t="shared" si="57"/>
        <v/>
      </c>
      <c r="AJ64" s="167" t="str">
        <f t="shared" si="57"/>
        <v/>
      </c>
      <c r="AK64" s="167" t="str">
        <f t="shared" si="57"/>
        <v/>
      </c>
      <c r="AL64" s="167" t="str">
        <f t="shared" si="57"/>
        <v/>
      </c>
      <c r="AM64" s="167" t="str">
        <f t="shared" si="57"/>
        <v/>
      </c>
      <c r="AN64" s="164" t="str">
        <f t="shared" si="57"/>
        <v/>
      </c>
      <c r="AO64" s="164" t="str">
        <f t="shared" si="57"/>
        <v/>
      </c>
      <c r="AP64" s="164" t="str">
        <f t="shared" si="57"/>
        <v/>
      </c>
      <c r="AQ64" s="164" t="str">
        <f t="shared" si="57"/>
        <v/>
      </c>
      <c r="AR64" s="164" t="str">
        <f t="shared" si="57"/>
        <v/>
      </c>
      <c r="AS64" s="167" t="str">
        <f t="shared" si="57"/>
        <v/>
      </c>
      <c r="AT64" s="167" t="str">
        <f t="shared" si="57"/>
        <v/>
      </c>
      <c r="AU64" s="167" t="str">
        <f t="shared" si="57"/>
        <v/>
      </c>
      <c r="AV64" s="167" t="str">
        <f t="shared" si="57"/>
        <v/>
      </c>
      <c r="AW64" s="167" t="str">
        <f t="shared" si="57"/>
        <v/>
      </c>
      <c r="AX64" s="164" t="str">
        <f t="shared" si="57"/>
        <v/>
      </c>
      <c r="AY64" s="164" t="str">
        <f t="shared" si="57"/>
        <v/>
      </c>
      <c r="AZ64" s="164" t="str">
        <f t="shared" si="57"/>
        <v/>
      </c>
      <c r="BA64" s="164" t="str">
        <f t="shared" si="57"/>
        <v/>
      </c>
      <c r="BB64" s="164" t="str">
        <f t="shared" si="57"/>
        <v/>
      </c>
      <c r="BC64" s="168" t="str">
        <f t="shared" si="57"/>
        <v/>
      </c>
      <c r="BD64" s="168" t="str">
        <f t="shared" si="57"/>
        <v/>
      </c>
      <c r="BE64" s="168" t="str">
        <f t="shared" si="57"/>
        <v/>
      </c>
      <c r="BF64" s="168" t="str">
        <f t="shared" si="57"/>
        <v/>
      </c>
      <c r="BG64" s="168">
        <f t="shared" si="57"/>
        <v>1</v>
      </c>
      <c r="BH64" s="164" t="str">
        <f t="shared" si="57"/>
        <v/>
      </c>
      <c r="BI64" s="164" t="str">
        <f t="shared" si="57"/>
        <v/>
      </c>
      <c r="BJ64" s="164" t="str">
        <f t="shared" si="57"/>
        <v/>
      </c>
      <c r="BK64" s="164" t="str">
        <f t="shared" si="57"/>
        <v/>
      </c>
      <c r="BL64" s="164" t="str">
        <f t="shared" si="57"/>
        <v/>
      </c>
      <c r="BM64" s="168" t="str">
        <f t="shared" si="57"/>
        <v/>
      </c>
      <c r="BN64" s="168" t="str">
        <f t="shared" si="57"/>
        <v/>
      </c>
      <c r="BO64" s="168" t="str">
        <f t="shared" si="57"/>
        <v/>
      </c>
      <c r="BP64" s="168" t="str">
        <f t="shared" si="57"/>
        <v/>
      </c>
      <c r="BQ64" s="168" t="str">
        <f t="shared" si="57"/>
        <v/>
      </c>
      <c r="BR64" s="169" t="str">
        <f t="shared" si="57"/>
        <v/>
      </c>
      <c r="BS64" s="169" t="str">
        <f t="shared" si="57"/>
        <v/>
      </c>
      <c r="BT64" s="169" t="str">
        <f t="shared" si="57"/>
        <v/>
      </c>
      <c r="BU64" s="169" t="str">
        <f t="shared" si="57"/>
        <v/>
      </c>
      <c r="BV64" s="169" t="str">
        <f t="shared" si="57"/>
        <v/>
      </c>
      <c r="BW64" s="164" t="str">
        <f t="shared" si="57"/>
        <v/>
      </c>
      <c r="BX64" s="164" t="str">
        <f t="shared" si="57"/>
        <v/>
      </c>
      <c r="BY64" s="164" t="str">
        <f t="shared" si="57"/>
        <v/>
      </c>
      <c r="BZ64" s="164" t="str">
        <f t="shared" si="57"/>
        <v/>
      </c>
      <c r="CA64" s="164" t="str">
        <f t="shared" si="57"/>
        <v/>
      </c>
      <c r="CB64" s="169" t="str">
        <f t="shared" si="57"/>
        <v/>
      </c>
      <c r="CC64" s="169" t="str">
        <f t="shared" si="57"/>
        <v/>
      </c>
      <c r="CD64" s="169" t="str">
        <f t="shared" si="57"/>
        <v/>
      </c>
      <c r="CE64" s="169" t="str">
        <f t="shared" si="57"/>
        <v/>
      </c>
      <c r="CF64" s="169" t="str">
        <f t="shared" si="57"/>
        <v/>
      </c>
      <c r="CG64" s="164" t="str">
        <f t="shared" si="57"/>
        <v/>
      </c>
      <c r="CH64" s="164" t="str">
        <f t="shared" si="57"/>
        <v/>
      </c>
      <c r="CI64" s="164" t="str">
        <f t="shared" si="57"/>
        <v/>
      </c>
      <c r="CJ64" s="164" t="str">
        <f t="shared" si="57"/>
        <v/>
      </c>
      <c r="CK64" s="164" t="str">
        <f t="shared" si="57"/>
        <v/>
      </c>
      <c r="CL64" s="152" t="str">
        <f t="shared" si="57"/>
        <v/>
      </c>
      <c r="CM64" s="152" t="str">
        <f t="shared" si="57"/>
        <v/>
      </c>
      <c r="CN64" s="152" t="str">
        <f t="shared" si="57"/>
        <v/>
      </c>
      <c r="CO64" s="152" t="str">
        <f t="shared" si="57"/>
        <v/>
      </c>
      <c r="CP64" s="152" t="str">
        <f t="shared" si="57"/>
        <v/>
      </c>
      <c r="CQ64" s="152" t="str">
        <f t="shared" si="57"/>
        <v/>
      </c>
      <c r="CR64" s="152" t="str">
        <f t="shared" si="57"/>
        <v/>
      </c>
      <c r="CS64" s="152" t="str">
        <f t="shared" si="57"/>
        <v/>
      </c>
      <c r="CT64" s="152" t="str">
        <f t="shared" si="57"/>
        <v/>
      </c>
      <c r="CU64" s="152" t="str">
        <f t="shared" si="57"/>
        <v/>
      </c>
    </row>
    <row r="65" ht="31.5" customHeight="1">
      <c r="B65" s="173" t="s">
        <v>244</v>
      </c>
      <c r="C65" s="174" t="s">
        <v>245</v>
      </c>
      <c r="D65" s="175" t="s">
        <v>114</v>
      </c>
      <c r="E65" s="176">
        <v>46272.0</v>
      </c>
      <c r="F65" s="176">
        <v>46346.0</v>
      </c>
      <c r="G65" s="177">
        <f t="shared" si="3"/>
        <v>55</v>
      </c>
      <c r="H65" s="178" t="s">
        <v>246</v>
      </c>
      <c r="I65" s="179">
        <v>0.0</v>
      </c>
      <c r="J65" s="180" t="str">
        <f t="shared" ref="J65:CU65" si="58">IF(AND(J$6&gt;=$E65,J$6&lt;=$F65),IF(NETWORKDAYS($E65,J$6)&lt;=ROUNDUP(NETWORKDAYS($E65,$F65)*$I65,0),2,1),"")</f>
        <v/>
      </c>
      <c r="K65" s="180" t="str">
        <f t="shared" si="58"/>
        <v/>
      </c>
      <c r="L65" s="180" t="str">
        <f t="shared" si="58"/>
        <v/>
      </c>
      <c r="M65" s="180" t="str">
        <f t="shared" si="58"/>
        <v/>
      </c>
      <c r="N65" s="180" t="str">
        <f t="shared" si="58"/>
        <v/>
      </c>
      <c r="O65" s="181" t="str">
        <f t="shared" si="58"/>
        <v/>
      </c>
      <c r="P65" s="181" t="str">
        <f t="shared" si="58"/>
        <v/>
      </c>
      <c r="Q65" s="181" t="str">
        <f t="shared" si="58"/>
        <v/>
      </c>
      <c r="R65" s="181" t="str">
        <f t="shared" si="58"/>
        <v/>
      </c>
      <c r="S65" s="181" t="str">
        <f t="shared" si="58"/>
        <v/>
      </c>
      <c r="T65" s="180" t="str">
        <f t="shared" si="58"/>
        <v/>
      </c>
      <c r="U65" s="180" t="str">
        <f t="shared" si="58"/>
        <v/>
      </c>
      <c r="V65" s="180" t="str">
        <f t="shared" si="58"/>
        <v/>
      </c>
      <c r="W65" s="180" t="str">
        <f t="shared" si="58"/>
        <v/>
      </c>
      <c r="X65" s="180" t="str">
        <f t="shared" si="58"/>
        <v/>
      </c>
      <c r="Y65" s="182" t="str">
        <f t="shared" si="58"/>
        <v/>
      </c>
      <c r="Z65" s="182" t="str">
        <f t="shared" si="58"/>
        <v/>
      </c>
      <c r="AA65" s="182" t="str">
        <f t="shared" si="58"/>
        <v/>
      </c>
      <c r="AB65" s="182" t="str">
        <f t="shared" si="58"/>
        <v/>
      </c>
      <c r="AC65" s="182" t="str">
        <f t="shared" si="58"/>
        <v/>
      </c>
      <c r="AD65" s="180">
        <f t="shared" si="58"/>
        <v>1</v>
      </c>
      <c r="AE65" s="180">
        <f t="shared" si="58"/>
        <v>1</v>
      </c>
      <c r="AF65" s="180">
        <f t="shared" si="58"/>
        <v>1</v>
      </c>
      <c r="AG65" s="180">
        <f t="shared" si="58"/>
        <v>1</v>
      </c>
      <c r="AH65" s="180">
        <f t="shared" si="58"/>
        <v>1</v>
      </c>
      <c r="AI65" s="183">
        <f t="shared" si="58"/>
        <v>1</v>
      </c>
      <c r="AJ65" s="183">
        <f t="shared" si="58"/>
        <v>1</v>
      </c>
      <c r="AK65" s="183">
        <f t="shared" si="58"/>
        <v>1</v>
      </c>
      <c r="AL65" s="183">
        <f t="shared" si="58"/>
        <v>1</v>
      </c>
      <c r="AM65" s="183">
        <f t="shared" si="58"/>
        <v>1</v>
      </c>
      <c r="AN65" s="180">
        <f t="shared" si="58"/>
        <v>1</v>
      </c>
      <c r="AO65" s="180">
        <f t="shared" si="58"/>
        <v>1</v>
      </c>
      <c r="AP65" s="180">
        <f t="shared" si="58"/>
        <v>1</v>
      </c>
      <c r="AQ65" s="180">
        <f t="shared" si="58"/>
        <v>1</v>
      </c>
      <c r="AR65" s="180">
        <f t="shared" si="58"/>
        <v>1</v>
      </c>
      <c r="AS65" s="183">
        <f t="shared" si="58"/>
        <v>1</v>
      </c>
      <c r="AT65" s="183">
        <f t="shared" si="58"/>
        <v>1</v>
      </c>
      <c r="AU65" s="183">
        <f t="shared" si="58"/>
        <v>1</v>
      </c>
      <c r="AV65" s="183">
        <f t="shared" si="58"/>
        <v>1</v>
      </c>
      <c r="AW65" s="183">
        <f t="shared" si="58"/>
        <v>1</v>
      </c>
      <c r="AX65" s="180">
        <f t="shared" si="58"/>
        <v>1</v>
      </c>
      <c r="AY65" s="180">
        <f t="shared" si="58"/>
        <v>1</v>
      </c>
      <c r="AZ65" s="180">
        <f t="shared" si="58"/>
        <v>1</v>
      </c>
      <c r="BA65" s="180">
        <f t="shared" si="58"/>
        <v>1</v>
      </c>
      <c r="BB65" s="180">
        <f t="shared" si="58"/>
        <v>1</v>
      </c>
      <c r="BC65" s="184">
        <f t="shared" si="58"/>
        <v>1</v>
      </c>
      <c r="BD65" s="184">
        <f t="shared" si="58"/>
        <v>1</v>
      </c>
      <c r="BE65" s="184">
        <f t="shared" si="58"/>
        <v>1</v>
      </c>
      <c r="BF65" s="184">
        <f t="shared" si="58"/>
        <v>1</v>
      </c>
      <c r="BG65" s="184">
        <f t="shared" si="58"/>
        <v>1</v>
      </c>
      <c r="BH65" s="180">
        <f t="shared" si="58"/>
        <v>1</v>
      </c>
      <c r="BI65" s="180">
        <f t="shared" si="58"/>
        <v>1</v>
      </c>
      <c r="BJ65" s="180">
        <f t="shared" si="58"/>
        <v>1</v>
      </c>
      <c r="BK65" s="180">
        <f t="shared" si="58"/>
        <v>1</v>
      </c>
      <c r="BL65" s="180">
        <f t="shared" si="58"/>
        <v>1</v>
      </c>
      <c r="BM65" s="184">
        <f t="shared" si="58"/>
        <v>1</v>
      </c>
      <c r="BN65" s="184">
        <f t="shared" si="58"/>
        <v>1</v>
      </c>
      <c r="BO65" s="184">
        <f t="shared" si="58"/>
        <v>1</v>
      </c>
      <c r="BP65" s="184">
        <f t="shared" si="58"/>
        <v>1</v>
      </c>
      <c r="BQ65" s="184">
        <f t="shared" si="58"/>
        <v>1</v>
      </c>
      <c r="BR65" s="185">
        <f t="shared" si="58"/>
        <v>1</v>
      </c>
      <c r="BS65" s="185">
        <f t="shared" si="58"/>
        <v>1</v>
      </c>
      <c r="BT65" s="185">
        <f t="shared" si="58"/>
        <v>1</v>
      </c>
      <c r="BU65" s="185">
        <f t="shared" si="58"/>
        <v>1</v>
      </c>
      <c r="BV65" s="185">
        <f t="shared" si="58"/>
        <v>1</v>
      </c>
      <c r="BW65" s="180">
        <f t="shared" si="58"/>
        <v>1</v>
      </c>
      <c r="BX65" s="180">
        <f t="shared" si="58"/>
        <v>1</v>
      </c>
      <c r="BY65" s="180">
        <f t="shared" si="58"/>
        <v>1</v>
      </c>
      <c r="BZ65" s="180">
        <f t="shared" si="58"/>
        <v>1</v>
      </c>
      <c r="CA65" s="180">
        <f t="shared" si="58"/>
        <v>1</v>
      </c>
      <c r="CB65" s="185">
        <f t="shared" si="58"/>
        <v>1</v>
      </c>
      <c r="CC65" s="185">
        <f t="shared" si="58"/>
        <v>1</v>
      </c>
      <c r="CD65" s="185">
        <f t="shared" si="58"/>
        <v>1</v>
      </c>
      <c r="CE65" s="185">
        <f t="shared" si="58"/>
        <v>1</v>
      </c>
      <c r="CF65" s="185">
        <f t="shared" si="58"/>
        <v>1</v>
      </c>
      <c r="CG65" s="180" t="str">
        <f t="shared" si="58"/>
        <v/>
      </c>
      <c r="CH65" s="180" t="str">
        <f t="shared" si="58"/>
        <v/>
      </c>
      <c r="CI65" s="180" t="str">
        <f t="shared" si="58"/>
        <v/>
      </c>
      <c r="CJ65" s="180" t="str">
        <f t="shared" si="58"/>
        <v/>
      </c>
      <c r="CK65" s="180" t="str">
        <f t="shared" si="58"/>
        <v/>
      </c>
      <c r="CL65" s="186" t="str">
        <f t="shared" si="58"/>
        <v/>
      </c>
      <c r="CM65" s="186" t="str">
        <f t="shared" si="58"/>
        <v/>
      </c>
      <c r="CN65" s="186" t="str">
        <f t="shared" si="58"/>
        <v/>
      </c>
      <c r="CO65" s="186" t="str">
        <f t="shared" si="58"/>
        <v/>
      </c>
      <c r="CP65" s="186" t="str">
        <f t="shared" si="58"/>
        <v/>
      </c>
      <c r="CQ65" s="186" t="str">
        <f t="shared" si="58"/>
        <v/>
      </c>
      <c r="CR65" s="186" t="str">
        <f t="shared" si="58"/>
        <v/>
      </c>
      <c r="CS65" s="186" t="str">
        <f t="shared" si="58"/>
        <v/>
      </c>
      <c r="CT65" s="186" t="str">
        <f t="shared" si="58"/>
        <v/>
      </c>
      <c r="CU65" s="187" t="str">
        <f t="shared" si="58"/>
        <v/>
      </c>
    </row>
    <row r="66">
      <c r="E66" s="188"/>
      <c r="F66" s="188"/>
    </row>
    <row r="67">
      <c r="E67" s="188"/>
      <c r="F67" s="188"/>
    </row>
    <row r="68">
      <c r="E68" s="188"/>
      <c r="F68" s="188"/>
    </row>
    <row r="69">
      <c r="E69" s="188"/>
      <c r="F69" s="188"/>
    </row>
    <row r="70">
      <c r="E70" s="188"/>
      <c r="F70" s="188"/>
    </row>
    <row r="71">
      <c r="E71" s="188"/>
      <c r="F71" s="188"/>
    </row>
    <row r="72">
      <c r="E72" s="188"/>
      <c r="F72" s="188"/>
    </row>
    <row r="73">
      <c r="E73" s="188"/>
      <c r="F73" s="188"/>
    </row>
    <row r="74">
      <c r="E74" s="188"/>
      <c r="F74" s="188"/>
    </row>
    <row r="75">
      <c r="E75" s="188"/>
      <c r="F75" s="188"/>
    </row>
    <row r="76">
      <c r="E76" s="188"/>
      <c r="F76" s="188"/>
    </row>
    <row r="77">
      <c r="E77" s="188"/>
      <c r="F77" s="188"/>
    </row>
    <row r="78">
      <c r="E78" s="188"/>
      <c r="F78" s="188"/>
    </row>
    <row r="79">
      <c r="E79" s="188"/>
      <c r="F79" s="188"/>
    </row>
    <row r="80">
      <c r="E80" s="188"/>
      <c r="F80" s="188"/>
    </row>
    <row r="81">
      <c r="E81" s="188"/>
      <c r="F81" s="188"/>
    </row>
    <row r="82">
      <c r="E82" s="188"/>
      <c r="F82" s="188"/>
    </row>
    <row r="83">
      <c r="E83" s="188"/>
      <c r="F83" s="188"/>
    </row>
    <row r="84">
      <c r="E84" s="188"/>
      <c r="F84" s="188"/>
    </row>
    <row r="85">
      <c r="E85" s="188"/>
      <c r="F85" s="188"/>
    </row>
    <row r="86">
      <c r="E86" s="188"/>
      <c r="F86" s="188"/>
    </row>
    <row r="87">
      <c r="E87" s="188"/>
      <c r="F87" s="188"/>
    </row>
    <row r="88">
      <c r="E88" s="188"/>
      <c r="F88" s="188"/>
    </row>
    <row r="89">
      <c r="E89" s="188"/>
      <c r="F89" s="188"/>
    </row>
    <row r="90">
      <c r="E90" s="188"/>
      <c r="F90" s="188"/>
    </row>
    <row r="91">
      <c r="E91" s="188"/>
      <c r="F91" s="188"/>
    </row>
    <row r="92">
      <c r="E92" s="188"/>
      <c r="F92" s="188"/>
    </row>
    <row r="93">
      <c r="E93" s="188"/>
      <c r="F93" s="188"/>
    </row>
    <row r="94">
      <c r="E94" s="188"/>
      <c r="F94" s="188"/>
    </row>
    <row r="95">
      <c r="E95" s="188"/>
      <c r="F95" s="188"/>
    </row>
    <row r="96">
      <c r="E96" s="188"/>
      <c r="F96" s="188"/>
    </row>
    <row r="97">
      <c r="E97" s="188"/>
      <c r="F97" s="188"/>
    </row>
    <row r="98">
      <c r="E98" s="188"/>
      <c r="F98" s="188"/>
    </row>
    <row r="99">
      <c r="E99" s="188"/>
      <c r="F99" s="188"/>
    </row>
    <row r="100">
      <c r="E100" s="188"/>
      <c r="F100" s="188"/>
    </row>
    <row r="101">
      <c r="E101" s="188"/>
      <c r="F101" s="188"/>
    </row>
    <row r="102">
      <c r="E102" s="188"/>
      <c r="F102" s="188"/>
    </row>
    <row r="103">
      <c r="E103" s="188"/>
      <c r="F103" s="188"/>
    </row>
    <row r="104">
      <c r="E104" s="188"/>
      <c r="F104" s="188"/>
    </row>
    <row r="105">
      <c r="E105" s="188"/>
      <c r="F105" s="188"/>
    </row>
    <row r="106">
      <c r="E106" s="188"/>
      <c r="F106" s="188"/>
    </row>
    <row r="107">
      <c r="E107" s="188"/>
      <c r="F107" s="188"/>
    </row>
    <row r="108">
      <c r="E108" s="188"/>
      <c r="F108" s="188"/>
    </row>
    <row r="109">
      <c r="E109" s="188"/>
      <c r="F109" s="188"/>
    </row>
    <row r="110">
      <c r="E110" s="188"/>
      <c r="F110" s="188"/>
    </row>
    <row r="111">
      <c r="E111" s="188"/>
      <c r="F111" s="188"/>
    </row>
    <row r="112">
      <c r="E112" s="188"/>
      <c r="F112" s="188"/>
    </row>
    <row r="113">
      <c r="E113" s="188"/>
      <c r="F113" s="188"/>
    </row>
    <row r="114">
      <c r="E114" s="188"/>
      <c r="F114" s="188"/>
    </row>
    <row r="115">
      <c r="E115" s="188"/>
      <c r="F115" s="188"/>
    </row>
    <row r="116">
      <c r="E116" s="188"/>
      <c r="F116" s="188"/>
    </row>
    <row r="117">
      <c r="E117" s="188"/>
      <c r="F117" s="188"/>
    </row>
    <row r="118">
      <c r="E118" s="188"/>
      <c r="F118" s="188"/>
    </row>
    <row r="119">
      <c r="E119" s="188"/>
      <c r="F119" s="188"/>
    </row>
    <row r="120">
      <c r="E120" s="188"/>
      <c r="F120" s="188"/>
    </row>
    <row r="121">
      <c r="E121" s="188"/>
      <c r="F121" s="188"/>
    </row>
    <row r="122">
      <c r="E122" s="188"/>
      <c r="F122" s="188"/>
    </row>
    <row r="123">
      <c r="E123" s="188"/>
      <c r="F123" s="188"/>
    </row>
    <row r="124">
      <c r="E124" s="188"/>
      <c r="F124" s="188"/>
    </row>
    <row r="125">
      <c r="E125" s="188"/>
      <c r="F125" s="188"/>
    </row>
    <row r="126">
      <c r="E126" s="188"/>
      <c r="F126" s="188"/>
    </row>
    <row r="127">
      <c r="E127" s="188"/>
      <c r="F127" s="188"/>
    </row>
    <row r="128">
      <c r="E128" s="188"/>
      <c r="F128" s="188"/>
    </row>
    <row r="129">
      <c r="E129" s="188"/>
      <c r="F129" s="188"/>
    </row>
    <row r="130">
      <c r="E130" s="188"/>
      <c r="F130" s="188"/>
    </row>
    <row r="131">
      <c r="E131" s="188"/>
      <c r="F131" s="188"/>
    </row>
    <row r="132">
      <c r="E132" s="188"/>
      <c r="F132" s="188"/>
    </row>
    <row r="133">
      <c r="E133" s="188"/>
      <c r="F133" s="188"/>
    </row>
    <row r="134">
      <c r="E134" s="188"/>
      <c r="F134" s="188"/>
    </row>
    <row r="135">
      <c r="E135" s="188"/>
      <c r="F135" s="188"/>
    </row>
    <row r="136">
      <c r="E136" s="188"/>
      <c r="F136" s="188"/>
    </row>
    <row r="137">
      <c r="E137" s="188"/>
      <c r="F137" s="188"/>
    </row>
    <row r="138">
      <c r="E138" s="188"/>
      <c r="F138" s="188"/>
    </row>
    <row r="139">
      <c r="E139" s="188"/>
      <c r="F139" s="188"/>
    </row>
    <row r="140">
      <c r="E140" s="188"/>
      <c r="F140" s="188"/>
    </row>
    <row r="141">
      <c r="E141" s="188"/>
      <c r="F141" s="188"/>
    </row>
    <row r="142">
      <c r="E142" s="188"/>
      <c r="F142" s="188"/>
    </row>
    <row r="143">
      <c r="E143" s="188"/>
      <c r="F143" s="188"/>
    </row>
    <row r="144">
      <c r="E144" s="188"/>
      <c r="F144" s="188"/>
    </row>
    <row r="145">
      <c r="E145" s="188"/>
      <c r="F145" s="188"/>
    </row>
    <row r="146">
      <c r="E146" s="188"/>
      <c r="F146" s="188"/>
    </row>
    <row r="147">
      <c r="E147" s="188"/>
      <c r="F147" s="188"/>
    </row>
    <row r="148">
      <c r="E148" s="188"/>
      <c r="F148" s="188"/>
    </row>
    <row r="149">
      <c r="E149" s="188"/>
      <c r="F149" s="188"/>
    </row>
    <row r="150">
      <c r="E150" s="188"/>
      <c r="F150" s="188"/>
    </row>
    <row r="151">
      <c r="E151" s="188"/>
      <c r="F151" s="188"/>
    </row>
    <row r="152">
      <c r="E152" s="188"/>
      <c r="F152" s="188"/>
    </row>
    <row r="153">
      <c r="E153" s="188"/>
      <c r="F153" s="188"/>
    </row>
    <row r="154">
      <c r="E154" s="188"/>
      <c r="F154" s="188"/>
    </row>
    <row r="155">
      <c r="E155" s="188"/>
      <c r="F155" s="188"/>
    </row>
    <row r="156">
      <c r="E156" s="188"/>
      <c r="F156" s="188"/>
    </row>
    <row r="157">
      <c r="E157" s="188"/>
      <c r="F157" s="188"/>
    </row>
    <row r="158">
      <c r="E158" s="188"/>
      <c r="F158" s="188"/>
    </row>
    <row r="159">
      <c r="E159" s="188"/>
      <c r="F159" s="188"/>
    </row>
    <row r="160">
      <c r="E160" s="188"/>
      <c r="F160" s="188"/>
    </row>
    <row r="161">
      <c r="E161" s="188"/>
      <c r="F161" s="188"/>
    </row>
    <row r="162">
      <c r="E162" s="188"/>
      <c r="F162" s="188"/>
    </row>
    <row r="163">
      <c r="E163" s="188"/>
      <c r="F163" s="188"/>
    </row>
    <row r="164">
      <c r="E164" s="188"/>
      <c r="F164" s="188"/>
    </row>
    <row r="165">
      <c r="E165" s="188"/>
      <c r="F165" s="188"/>
    </row>
    <row r="166">
      <c r="E166" s="188"/>
      <c r="F166" s="188"/>
    </row>
    <row r="167">
      <c r="E167" s="188"/>
      <c r="F167" s="188"/>
    </row>
    <row r="168">
      <c r="E168" s="188"/>
      <c r="F168" s="188"/>
    </row>
    <row r="169">
      <c r="E169" s="188"/>
      <c r="F169" s="188"/>
    </row>
    <row r="170">
      <c r="E170" s="188"/>
      <c r="F170" s="188"/>
    </row>
    <row r="171">
      <c r="E171" s="188"/>
      <c r="F171" s="188"/>
    </row>
    <row r="172">
      <c r="E172" s="188"/>
      <c r="F172" s="188"/>
    </row>
    <row r="173">
      <c r="E173" s="188"/>
      <c r="F173" s="188"/>
    </row>
    <row r="174">
      <c r="E174" s="188"/>
      <c r="F174" s="188"/>
    </row>
    <row r="175">
      <c r="E175" s="188"/>
      <c r="F175" s="188"/>
    </row>
    <row r="176">
      <c r="E176" s="188"/>
      <c r="F176" s="188"/>
    </row>
    <row r="177">
      <c r="E177" s="188"/>
      <c r="F177" s="188"/>
    </row>
    <row r="178">
      <c r="E178" s="188"/>
      <c r="F178" s="188"/>
    </row>
    <row r="179">
      <c r="E179" s="188"/>
      <c r="F179" s="188"/>
    </row>
    <row r="180">
      <c r="E180" s="188"/>
      <c r="F180" s="188"/>
    </row>
    <row r="181">
      <c r="E181" s="188"/>
      <c r="F181" s="188"/>
    </row>
    <row r="182">
      <c r="E182" s="188"/>
      <c r="F182" s="188"/>
    </row>
    <row r="183">
      <c r="E183" s="188"/>
      <c r="F183" s="188"/>
    </row>
    <row r="184">
      <c r="E184" s="188"/>
      <c r="F184" s="188"/>
    </row>
    <row r="185">
      <c r="E185" s="188"/>
      <c r="F185" s="188"/>
    </row>
    <row r="186">
      <c r="E186" s="188"/>
      <c r="F186" s="188"/>
    </row>
    <row r="187">
      <c r="E187" s="188"/>
      <c r="F187" s="188"/>
    </row>
    <row r="188">
      <c r="E188" s="188"/>
      <c r="F188" s="188"/>
    </row>
    <row r="189">
      <c r="E189" s="188"/>
      <c r="F189" s="188"/>
    </row>
    <row r="190">
      <c r="E190" s="188"/>
      <c r="F190" s="188"/>
    </row>
    <row r="191">
      <c r="E191" s="188"/>
      <c r="F191" s="188"/>
    </row>
    <row r="192">
      <c r="E192" s="188"/>
      <c r="F192" s="188"/>
    </row>
    <row r="193">
      <c r="E193" s="188"/>
      <c r="F193" s="188"/>
    </row>
    <row r="194">
      <c r="E194" s="188"/>
      <c r="F194" s="188"/>
    </row>
    <row r="195">
      <c r="E195" s="188"/>
      <c r="F195" s="188"/>
    </row>
    <row r="196">
      <c r="E196" s="188"/>
      <c r="F196" s="188"/>
    </row>
    <row r="197">
      <c r="E197" s="188"/>
      <c r="F197" s="188"/>
    </row>
    <row r="198">
      <c r="E198" s="188"/>
      <c r="F198" s="188"/>
    </row>
    <row r="199">
      <c r="E199" s="188"/>
      <c r="F199" s="188"/>
    </row>
    <row r="200">
      <c r="E200" s="188"/>
      <c r="F200" s="188"/>
    </row>
    <row r="201">
      <c r="E201" s="188"/>
      <c r="F201" s="188"/>
    </row>
    <row r="202">
      <c r="E202" s="188"/>
      <c r="F202" s="188"/>
    </row>
    <row r="203">
      <c r="E203" s="188"/>
      <c r="F203" s="188"/>
    </row>
    <row r="204">
      <c r="E204" s="188"/>
      <c r="F204" s="188"/>
    </row>
    <row r="205">
      <c r="E205" s="188"/>
      <c r="F205" s="188"/>
    </row>
    <row r="206">
      <c r="E206" s="188"/>
      <c r="F206" s="188"/>
    </row>
    <row r="207">
      <c r="E207" s="188"/>
      <c r="F207" s="188"/>
    </row>
    <row r="208">
      <c r="E208" s="188"/>
      <c r="F208" s="188"/>
    </row>
    <row r="209">
      <c r="E209" s="188"/>
      <c r="F209" s="188"/>
    </row>
    <row r="210">
      <c r="E210" s="188"/>
      <c r="F210" s="188"/>
    </row>
    <row r="211">
      <c r="E211" s="188"/>
      <c r="F211" s="188"/>
    </row>
    <row r="212">
      <c r="E212" s="188"/>
      <c r="F212" s="188"/>
    </row>
    <row r="213">
      <c r="E213" s="188"/>
      <c r="F213" s="188"/>
    </row>
    <row r="214">
      <c r="E214" s="188"/>
      <c r="F214" s="188"/>
    </row>
    <row r="215">
      <c r="E215" s="188"/>
      <c r="F215" s="188"/>
    </row>
    <row r="216">
      <c r="E216" s="188"/>
      <c r="F216" s="188"/>
    </row>
    <row r="217">
      <c r="E217" s="188"/>
      <c r="F217" s="188"/>
    </row>
    <row r="218">
      <c r="E218" s="188"/>
      <c r="F218" s="188"/>
    </row>
    <row r="219">
      <c r="E219" s="188"/>
      <c r="F219" s="188"/>
    </row>
    <row r="220">
      <c r="E220" s="188"/>
      <c r="F220" s="188"/>
    </row>
    <row r="221">
      <c r="E221" s="188"/>
      <c r="F221" s="188"/>
    </row>
    <row r="222">
      <c r="E222" s="188"/>
      <c r="F222" s="188"/>
    </row>
    <row r="223">
      <c r="E223" s="188"/>
      <c r="F223" s="188"/>
    </row>
    <row r="224">
      <c r="E224" s="188"/>
      <c r="F224" s="188"/>
    </row>
    <row r="225">
      <c r="E225" s="188"/>
      <c r="F225" s="188"/>
    </row>
    <row r="226">
      <c r="E226" s="188"/>
      <c r="F226" s="188"/>
    </row>
    <row r="227">
      <c r="E227" s="188"/>
      <c r="F227" s="188"/>
    </row>
    <row r="228">
      <c r="E228" s="188"/>
      <c r="F228" s="188"/>
    </row>
    <row r="229">
      <c r="E229" s="188"/>
      <c r="F229" s="188"/>
    </row>
    <row r="230">
      <c r="E230" s="188"/>
      <c r="F230" s="188"/>
    </row>
    <row r="231">
      <c r="E231" s="188"/>
      <c r="F231" s="188"/>
    </row>
    <row r="232">
      <c r="E232" s="188"/>
      <c r="F232" s="188"/>
    </row>
    <row r="233">
      <c r="E233" s="188"/>
      <c r="F233" s="188"/>
    </row>
    <row r="234">
      <c r="E234" s="188"/>
      <c r="F234" s="188"/>
    </row>
    <row r="235">
      <c r="E235" s="188"/>
      <c r="F235" s="188"/>
    </row>
    <row r="236">
      <c r="E236" s="188"/>
      <c r="F236" s="188"/>
    </row>
    <row r="237">
      <c r="E237" s="188"/>
      <c r="F237" s="188"/>
    </row>
    <row r="238">
      <c r="E238" s="188"/>
      <c r="F238" s="188"/>
    </row>
    <row r="239">
      <c r="E239" s="188"/>
      <c r="F239" s="188"/>
    </row>
    <row r="240">
      <c r="E240" s="188"/>
      <c r="F240" s="188"/>
    </row>
    <row r="241">
      <c r="E241" s="188"/>
      <c r="F241" s="188"/>
    </row>
    <row r="242">
      <c r="E242" s="188"/>
      <c r="F242" s="188"/>
    </row>
    <row r="243">
      <c r="E243" s="188"/>
      <c r="F243" s="188"/>
    </row>
    <row r="244">
      <c r="E244" s="188"/>
      <c r="F244" s="188"/>
    </row>
    <row r="245">
      <c r="E245" s="188"/>
      <c r="F245" s="188"/>
    </row>
    <row r="246">
      <c r="E246" s="188"/>
      <c r="F246" s="188"/>
    </row>
    <row r="247">
      <c r="E247" s="188"/>
      <c r="F247" s="188"/>
    </row>
    <row r="248">
      <c r="E248" s="188"/>
      <c r="F248" s="188"/>
    </row>
    <row r="249">
      <c r="E249" s="188"/>
      <c r="F249" s="188"/>
    </row>
    <row r="250">
      <c r="E250" s="188"/>
      <c r="F250" s="188"/>
    </row>
    <row r="251">
      <c r="E251" s="188"/>
      <c r="F251" s="188"/>
    </row>
    <row r="252">
      <c r="E252" s="188"/>
      <c r="F252" s="188"/>
    </row>
    <row r="253">
      <c r="E253" s="188"/>
      <c r="F253" s="188"/>
    </row>
    <row r="254">
      <c r="E254" s="188"/>
      <c r="F254" s="188"/>
    </row>
    <row r="255">
      <c r="E255" s="188"/>
      <c r="F255" s="188"/>
    </row>
    <row r="256">
      <c r="E256" s="188"/>
      <c r="F256" s="188"/>
    </row>
    <row r="257">
      <c r="E257" s="188"/>
      <c r="F257" s="188"/>
    </row>
    <row r="258">
      <c r="E258" s="188"/>
      <c r="F258" s="188"/>
    </row>
    <row r="259">
      <c r="E259" s="188"/>
      <c r="F259" s="188"/>
    </row>
    <row r="260">
      <c r="E260" s="188"/>
      <c r="F260" s="188"/>
    </row>
    <row r="261">
      <c r="E261" s="188"/>
      <c r="F261" s="188"/>
    </row>
    <row r="262">
      <c r="E262" s="188"/>
      <c r="F262" s="188"/>
    </row>
    <row r="263">
      <c r="E263" s="188"/>
      <c r="F263" s="188"/>
    </row>
    <row r="264">
      <c r="E264" s="188"/>
      <c r="F264" s="188"/>
    </row>
    <row r="265">
      <c r="E265" s="188"/>
      <c r="F265" s="188"/>
    </row>
  </sheetData>
  <mergeCells count="23">
    <mergeCell ref="CL8:CP8"/>
    <mergeCell ref="CQ8:CU8"/>
    <mergeCell ref="J7:AC7"/>
    <mergeCell ref="AD7:AW7"/>
    <mergeCell ref="AX7:BQ7"/>
    <mergeCell ref="BR7:CK7"/>
    <mergeCell ref="CL7:CU7"/>
    <mergeCell ref="J8:N8"/>
    <mergeCell ref="O8:S8"/>
    <mergeCell ref="T8:X8"/>
    <mergeCell ref="Y8:AC8"/>
    <mergeCell ref="AD8:AH8"/>
    <mergeCell ref="AI8:AM8"/>
    <mergeCell ref="AN8:AR8"/>
    <mergeCell ref="AS8:AW8"/>
    <mergeCell ref="AX8:BB8"/>
    <mergeCell ref="BC8:BG8"/>
    <mergeCell ref="BH8:BL8"/>
    <mergeCell ref="BM8:BQ8"/>
    <mergeCell ref="BR8:BV8"/>
    <mergeCell ref="BW8:CA8"/>
    <mergeCell ref="CB8:CF8"/>
    <mergeCell ref="CG8:CK8"/>
  </mergeCells>
  <conditionalFormatting sqref="J10:CU65">
    <cfRule type="cellIs" dxfId="0" priority="1" operator="equal">
      <formula>1</formula>
    </cfRule>
  </conditionalFormatting>
  <conditionalFormatting sqref="J10:CU65">
    <cfRule type="cellIs" dxfId="1" priority="2" operator="equal">
      <formula>2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4.11"/>
    <col customWidth="1" min="3" max="3" width="30.33"/>
    <col customWidth="1" min="4" max="4" width="11.67"/>
    <col customWidth="1" min="5" max="7" width="9.89"/>
    <col customWidth="1" min="8" max="8" width="14.44"/>
    <col customWidth="1" min="9" max="93" width="3.33"/>
    <col customWidth="1" min="94" max="94" width="1.33"/>
  </cols>
  <sheetData>
    <row r="1" ht="49.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4"/>
      <c r="Q1" s="4"/>
      <c r="R1" s="4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ht="34.5" customHeight="1">
      <c r="A2" s="5"/>
      <c r="B2" s="10" t="s">
        <v>1</v>
      </c>
      <c r="C2" s="11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</row>
    <row r="3">
      <c r="A3" s="5"/>
      <c r="B3" s="13" t="s">
        <v>4</v>
      </c>
      <c r="C3" s="1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</row>
    <row r="4">
      <c r="A4" s="5"/>
      <c r="B4" s="15" t="s">
        <v>5</v>
      </c>
      <c r="C4" s="1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</row>
    <row r="5">
      <c r="A5" s="5"/>
      <c r="B5" s="20" t="s">
        <v>7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</row>
    <row r="6" ht="18.0" customHeight="1">
      <c r="A6" s="5"/>
      <c r="B6" s="2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</row>
    <row r="7" ht="19.5" customHeight="1">
      <c r="B7" s="23"/>
      <c r="C7" s="24"/>
      <c r="D7" s="24"/>
      <c r="E7" s="24"/>
      <c r="F7" s="24"/>
      <c r="G7" s="24"/>
      <c r="H7" s="24"/>
      <c r="I7" s="28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  <c r="AC7" s="31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30"/>
      <c r="AW7" s="33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30"/>
      <c r="BQ7" s="35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30"/>
      <c r="CK7" s="36" t="s">
        <v>9</v>
      </c>
      <c r="CL7" s="29"/>
      <c r="CM7" s="29"/>
      <c r="CN7" s="29"/>
      <c r="CO7" s="37"/>
      <c r="CP7" s="38"/>
    </row>
    <row r="8">
      <c r="B8" s="39" t="s">
        <v>10</v>
      </c>
      <c r="C8" s="40" t="s">
        <v>11</v>
      </c>
      <c r="D8" s="40" t="s">
        <v>12</v>
      </c>
      <c r="E8" s="42" t="s">
        <v>13</v>
      </c>
      <c r="F8" s="44" t="s">
        <v>13</v>
      </c>
      <c r="G8" s="46" t="s">
        <v>15</v>
      </c>
      <c r="H8" s="48" t="s">
        <v>16</v>
      </c>
      <c r="I8" s="50" t="s">
        <v>17</v>
      </c>
      <c r="J8" s="51"/>
      <c r="K8" s="51"/>
      <c r="L8" s="51"/>
      <c r="M8" s="52"/>
      <c r="N8" s="50" t="s">
        <v>18</v>
      </c>
      <c r="O8" s="51"/>
      <c r="P8" s="51"/>
      <c r="Q8" s="51"/>
      <c r="R8" s="52"/>
      <c r="S8" s="50" t="s">
        <v>19</v>
      </c>
      <c r="T8" s="51"/>
      <c r="U8" s="51"/>
      <c r="V8" s="51"/>
      <c r="W8" s="52"/>
      <c r="X8" s="50" t="s">
        <v>20</v>
      </c>
      <c r="Y8" s="51"/>
      <c r="Z8" s="51"/>
      <c r="AA8" s="51"/>
      <c r="AB8" s="52"/>
      <c r="AC8" s="54" t="s">
        <v>21</v>
      </c>
      <c r="AD8" s="51"/>
      <c r="AE8" s="51"/>
      <c r="AF8" s="51"/>
      <c r="AG8" s="52"/>
      <c r="AH8" s="54" t="s">
        <v>22</v>
      </c>
      <c r="AI8" s="51"/>
      <c r="AJ8" s="51"/>
      <c r="AK8" s="51"/>
      <c r="AL8" s="52"/>
      <c r="AM8" s="54" t="s">
        <v>23</v>
      </c>
      <c r="AN8" s="51"/>
      <c r="AO8" s="51"/>
      <c r="AP8" s="51"/>
      <c r="AQ8" s="52"/>
      <c r="AR8" s="54" t="s">
        <v>24</v>
      </c>
      <c r="AS8" s="51"/>
      <c r="AT8" s="51"/>
      <c r="AU8" s="51"/>
      <c r="AV8" s="52"/>
      <c r="AW8" s="55" t="s">
        <v>25</v>
      </c>
      <c r="AX8" s="51"/>
      <c r="AY8" s="51"/>
      <c r="AZ8" s="51"/>
      <c r="BA8" s="52"/>
      <c r="BB8" s="55" t="s">
        <v>26</v>
      </c>
      <c r="BC8" s="51"/>
      <c r="BD8" s="51"/>
      <c r="BE8" s="51"/>
      <c r="BF8" s="52"/>
      <c r="BG8" s="55" t="s">
        <v>27</v>
      </c>
      <c r="BH8" s="51"/>
      <c r="BI8" s="51"/>
      <c r="BJ8" s="51"/>
      <c r="BK8" s="52"/>
      <c r="BL8" s="55" t="s">
        <v>28</v>
      </c>
      <c r="BM8" s="51"/>
      <c r="BN8" s="51"/>
      <c r="BO8" s="51"/>
      <c r="BP8" s="52"/>
      <c r="BQ8" s="56" t="s">
        <v>29</v>
      </c>
      <c r="BR8" s="51"/>
      <c r="BS8" s="51"/>
      <c r="BT8" s="51"/>
      <c r="BU8" s="52"/>
      <c r="BV8" s="56" t="s">
        <v>30</v>
      </c>
      <c r="BW8" s="51"/>
      <c r="BX8" s="51"/>
      <c r="BY8" s="51"/>
      <c r="BZ8" s="52"/>
      <c r="CA8" s="56" t="s">
        <v>31</v>
      </c>
      <c r="CB8" s="51"/>
      <c r="CC8" s="51"/>
      <c r="CD8" s="51"/>
      <c r="CE8" s="52"/>
      <c r="CF8" s="56" t="s">
        <v>32</v>
      </c>
      <c r="CG8" s="51"/>
      <c r="CH8" s="51"/>
      <c r="CI8" s="51"/>
      <c r="CJ8" s="57"/>
      <c r="CK8" s="58" t="s">
        <v>33</v>
      </c>
      <c r="CL8" s="51"/>
      <c r="CM8" s="51"/>
      <c r="CN8" s="51"/>
      <c r="CO8" s="57"/>
      <c r="CP8" s="59"/>
    </row>
    <row r="9" ht="19.5" customHeight="1">
      <c r="B9" s="60" t="s">
        <v>34</v>
      </c>
      <c r="C9" s="61" t="s">
        <v>34</v>
      </c>
      <c r="D9" s="61" t="s">
        <v>35</v>
      </c>
      <c r="E9" s="62" t="s">
        <v>36</v>
      </c>
      <c r="F9" s="63" t="s">
        <v>37</v>
      </c>
      <c r="G9" s="64" t="s">
        <v>38</v>
      </c>
      <c r="H9" s="65" t="s">
        <v>39</v>
      </c>
      <c r="I9" s="66" t="s">
        <v>40</v>
      </c>
      <c r="J9" s="67" t="s">
        <v>41</v>
      </c>
      <c r="K9" s="67" t="s">
        <v>42</v>
      </c>
      <c r="L9" s="67" t="s">
        <v>43</v>
      </c>
      <c r="M9" s="67" t="s">
        <v>44</v>
      </c>
      <c r="N9" s="66" t="s">
        <v>40</v>
      </c>
      <c r="O9" s="67" t="s">
        <v>41</v>
      </c>
      <c r="P9" s="67" t="s">
        <v>42</v>
      </c>
      <c r="Q9" s="67" t="s">
        <v>43</v>
      </c>
      <c r="R9" s="67" t="s">
        <v>44</v>
      </c>
      <c r="S9" s="66" t="s">
        <v>40</v>
      </c>
      <c r="T9" s="67" t="s">
        <v>41</v>
      </c>
      <c r="U9" s="67" t="s">
        <v>42</v>
      </c>
      <c r="V9" s="67" t="s">
        <v>43</v>
      </c>
      <c r="W9" s="67" t="s">
        <v>44</v>
      </c>
      <c r="X9" s="66" t="s">
        <v>40</v>
      </c>
      <c r="Y9" s="67" t="s">
        <v>41</v>
      </c>
      <c r="Z9" s="67" t="s">
        <v>42</v>
      </c>
      <c r="AA9" s="67" t="s">
        <v>43</v>
      </c>
      <c r="AB9" s="67" t="s">
        <v>44</v>
      </c>
      <c r="AC9" s="68" t="s">
        <v>40</v>
      </c>
      <c r="AD9" s="69" t="s">
        <v>41</v>
      </c>
      <c r="AE9" s="69" t="s">
        <v>42</v>
      </c>
      <c r="AF9" s="69" t="s">
        <v>43</v>
      </c>
      <c r="AG9" s="69" t="s">
        <v>44</v>
      </c>
      <c r="AH9" s="68" t="s">
        <v>40</v>
      </c>
      <c r="AI9" s="69" t="s">
        <v>41</v>
      </c>
      <c r="AJ9" s="69" t="s">
        <v>42</v>
      </c>
      <c r="AK9" s="69" t="s">
        <v>43</v>
      </c>
      <c r="AL9" s="69" t="s">
        <v>44</v>
      </c>
      <c r="AM9" s="68" t="s">
        <v>40</v>
      </c>
      <c r="AN9" s="69" t="s">
        <v>41</v>
      </c>
      <c r="AO9" s="69" t="s">
        <v>42</v>
      </c>
      <c r="AP9" s="69" t="s">
        <v>43</v>
      </c>
      <c r="AQ9" s="69" t="s">
        <v>44</v>
      </c>
      <c r="AR9" s="68" t="s">
        <v>40</v>
      </c>
      <c r="AS9" s="69" t="s">
        <v>41</v>
      </c>
      <c r="AT9" s="69" t="s">
        <v>42</v>
      </c>
      <c r="AU9" s="69" t="s">
        <v>43</v>
      </c>
      <c r="AV9" s="69" t="s">
        <v>44</v>
      </c>
      <c r="AW9" s="70" t="s">
        <v>40</v>
      </c>
      <c r="AX9" s="71" t="s">
        <v>41</v>
      </c>
      <c r="AY9" s="71" t="s">
        <v>42</v>
      </c>
      <c r="AZ9" s="71" t="s">
        <v>43</v>
      </c>
      <c r="BA9" s="71" t="s">
        <v>44</v>
      </c>
      <c r="BB9" s="70" t="s">
        <v>40</v>
      </c>
      <c r="BC9" s="71" t="s">
        <v>41</v>
      </c>
      <c r="BD9" s="71" t="s">
        <v>42</v>
      </c>
      <c r="BE9" s="71" t="s">
        <v>43</v>
      </c>
      <c r="BF9" s="71" t="s">
        <v>44</v>
      </c>
      <c r="BG9" s="70" t="s">
        <v>40</v>
      </c>
      <c r="BH9" s="71" t="s">
        <v>41</v>
      </c>
      <c r="BI9" s="71" t="s">
        <v>42</v>
      </c>
      <c r="BJ9" s="71" t="s">
        <v>43</v>
      </c>
      <c r="BK9" s="71" t="s">
        <v>44</v>
      </c>
      <c r="BL9" s="70" t="s">
        <v>40</v>
      </c>
      <c r="BM9" s="71" t="s">
        <v>41</v>
      </c>
      <c r="BN9" s="71" t="s">
        <v>42</v>
      </c>
      <c r="BO9" s="71" t="s">
        <v>43</v>
      </c>
      <c r="BP9" s="71" t="s">
        <v>44</v>
      </c>
      <c r="BQ9" s="72" t="s">
        <v>40</v>
      </c>
      <c r="BR9" s="74" t="s">
        <v>41</v>
      </c>
      <c r="BS9" s="74" t="s">
        <v>42</v>
      </c>
      <c r="BT9" s="74" t="s">
        <v>43</v>
      </c>
      <c r="BU9" s="74" t="s">
        <v>44</v>
      </c>
      <c r="BV9" s="72" t="s">
        <v>40</v>
      </c>
      <c r="BW9" s="74" t="s">
        <v>41</v>
      </c>
      <c r="BX9" s="74" t="s">
        <v>42</v>
      </c>
      <c r="BY9" s="74" t="s">
        <v>43</v>
      </c>
      <c r="BZ9" s="74" t="s">
        <v>44</v>
      </c>
      <c r="CA9" s="72" t="s">
        <v>40</v>
      </c>
      <c r="CB9" s="74" t="s">
        <v>41</v>
      </c>
      <c r="CC9" s="74" t="s">
        <v>42</v>
      </c>
      <c r="CD9" s="74" t="s">
        <v>43</v>
      </c>
      <c r="CE9" s="74" t="s">
        <v>44</v>
      </c>
      <c r="CF9" s="72" t="s">
        <v>40</v>
      </c>
      <c r="CG9" s="74" t="s">
        <v>41</v>
      </c>
      <c r="CH9" s="74" t="s">
        <v>42</v>
      </c>
      <c r="CI9" s="74" t="s">
        <v>43</v>
      </c>
      <c r="CJ9" s="74" t="s">
        <v>44</v>
      </c>
      <c r="CK9" s="75" t="s">
        <v>40</v>
      </c>
      <c r="CL9" s="77" t="s">
        <v>41</v>
      </c>
      <c r="CM9" s="77" t="s">
        <v>42</v>
      </c>
      <c r="CN9" s="77" t="s">
        <v>43</v>
      </c>
      <c r="CO9" s="77" t="s">
        <v>44</v>
      </c>
      <c r="CP9" s="75"/>
    </row>
    <row r="10" ht="19.5" customHeight="1">
      <c r="B10" s="78">
        <v>1.0</v>
      </c>
      <c r="C10" s="79" t="s">
        <v>45</v>
      </c>
      <c r="D10" s="80"/>
      <c r="E10" s="81"/>
      <c r="F10" s="82"/>
      <c r="G10" s="83" t="str">
        <f t="shared" ref="G10:G39" si="1">IF(F10-E10=0,"",F10-E10)</f>
        <v/>
      </c>
      <c r="H10" s="84"/>
      <c r="I10" s="85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7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7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7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7"/>
      <c r="CL10" s="86"/>
      <c r="CM10" s="86"/>
      <c r="CN10" s="86"/>
      <c r="CO10" s="86"/>
      <c r="CP10" s="87"/>
    </row>
    <row r="11" ht="19.5" customHeight="1">
      <c r="B11" s="91" t="s">
        <v>47</v>
      </c>
      <c r="C11" s="92" t="s">
        <v>48</v>
      </c>
      <c r="D11" s="93"/>
      <c r="E11" s="94">
        <v>46305.0</v>
      </c>
      <c r="F11" s="94">
        <v>46306.0</v>
      </c>
      <c r="G11" s="95">
        <f t="shared" si="1"/>
        <v>1</v>
      </c>
      <c r="H11" s="96">
        <v>1.0</v>
      </c>
      <c r="I11" s="97"/>
      <c r="J11" s="98"/>
      <c r="K11" s="98"/>
      <c r="L11" s="98"/>
      <c r="M11" s="98"/>
      <c r="N11" s="99"/>
      <c r="O11" s="99"/>
      <c r="P11" s="99"/>
      <c r="Q11" s="99"/>
      <c r="R11" s="99"/>
      <c r="S11" s="98"/>
      <c r="T11" s="98"/>
      <c r="U11" s="98"/>
      <c r="V11" s="98"/>
      <c r="W11" s="98"/>
      <c r="X11" s="99"/>
      <c r="Y11" s="99"/>
      <c r="Z11" s="99"/>
      <c r="AA11" s="99"/>
      <c r="AB11" s="99"/>
      <c r="AC11" s="100"/>
      <c r="AD11" s="98"/>
      <c r="AE11" s="98"/>
      <c r="AF11" s="98"/>
      <c r="AG11" s="98"/>
      <c r="AH11" s="101"/>
      <c r="AI11" s="101"/>
      <c r="AJ11" s="101"/>
      <c r="AK11" s="101"/>
      <c r="AL11" s="101"/>
      <c r="AM11" s="98"/>
      <c r="AN11" s="98"/>
      <c r="AO11" s="98"/>
      <c r="AP11" s="98"/>
      <c r="AQ11" s="98"/>
      <c r="AR11" s="101"/>
      <c r="AS11" s="101"/>
      <c r="AT11" s="101"/>
      <c r="AU11" s="101"/>
      <c r="AV11" s="101"/>
      <c r="AW11" s="100"/>
      <c r="AX11" s="98"/>
      <c r="AY11" s="98"/>
      <c r="AZ11" s="98"/>
      <c r="BA11" s="98"/>
      <c r="BB11" s="102"/>
      <c r="BC11" s="102"/>
      <c r="BD11" s="102"/>
      <c r="BE11" s="102"/>
      <c r="BF11" s="102"/>
      <c r="BG11" s="98"/>
      <c r="BH11" s="98"/>
      <c r="BI11" s="98"/>
      <c r="BJ11" s="98"/>
      <c r="BK11" s="98"/>
      <c r="BL11" s="102"/>
      <c r="BM11" s="102"/>
      <c r="BN11" s="102"/>
      <c r="BO11" s="102"/>
      <c r="BP11" s="102"/>
      <c r="BQ11" s="100"/>
      <c r="BR11" s="98"/>
      <c r="BS11" s="98"/>
      <c r="BT11" s="98"/>
      <c r="BU11" s="98"/>
      <c r="BV11" s="103"/>
      <c r="BW11" s="103"/>
      <c r="BX11" s="103"/>
      <c r="BY11" s="103"/>
      <c r="BZ11" s="103"/>
      <c r="CA11" s="98"/>
      <c r="CB11" s="98"/>
      <c r="CC11" s="98"/>
      <c r="CD11" s="98"/>
      <c r="CE11" s="98"/>
      <c r="CF11" s="103"/>
      <c r="CG11" s="103"/>
      <c r="CH11" s="103"/>
      <c r="CI11" s="103"/>
      <c r="CJ11" s="103"/>
      <c r="CK11" s="100"/>
      <c r="CL11" s="98"/>
      <c r="CM11" s="98"/>
      <c r="CN11" s="98"/>
      <c r="CO11" s="98"/>
      <c r="CP11" s="100"/>
    </row>
    <row r="12" ht="19.5" customHeight="1">
      <c r="B12" s="91" t="s">
        <v>49</v>
      </c>
      <c r="C12" s="92" t="s">
        <v>50</v>
      </c>
      <c r="D12" s="93"/>
      <c r="E12" s="94">
        <v>46305.0</v>
      </c>
      <c r="F12" s="94">
        <v>46307.0</v>
      </c>
      <c r="G12" s="95">
        <f t="shared" si="1"/>
        <v>2</v>
      </c>
      <c r="H12" s="96">
        <v>0.0</v>
      </c>
      <c r="I12" s="97"/>
      <c r="J12" s="98"/>
      <c r="K12" s="98"/>
      <c r="L12" s="98"/>
      <c r="M12" s="98"/>
      <c r="N12" s="99"/>
      <c r="O12" s="99"/>
      <c r="P12" s="99"/>
      <c r="Q12" s="99"/>
      <c r="R12" s="99"/>
      <c r="S12" s="98"/>
      <c r="T12" s="98"/>
      <c r="U12" s="98"/>
      <c r="V12" s="98"/>
      <c r="W12" s="98"/>
      <c r="X12" s="99"/>
      <c r="Y12" s="99"/>
      <c r="Z12" s="99"/>
      <c r="AA12" s="99"/>
      <c r="AB12" s="99"/>
      <c r="AC12" s="100"/>
      <c r="AD12" s="98"/>
      <c r="AE12" s="98"/>
      <c r="AF12" s="98"/>
      <c r="AG12" s="98"/>
      <c r="AH12" s="101"/>
      <c r="AI12" s="101"/>
      <c r="AJ12" s="101"/>
      <c r="AK12" s="101"/>
      <c r="AL12" s="101"/>
      <c r="AM12" s="98"/>
      <c r="AN12" s="98"/>
      <c r="AO12" s="98"/>
      <c r="AP12" s="98"/>
      <c r="AQ12" s="98"/>
      <c r="AR12" s="101"/>
      <c r="AS12" s="101"/>
      <c r="AT12" s="101"/>
      <c r="AU12" s="101"/>
      <c r="AV12" s="101"/>
      <c r="AW12" s="100"/>
      <c r="AX12" s="98"/>
      <c r="AY12" s="98"/>
      <c r="AZ12" s="98"/>
      <c r="BA12" s="98"/>
      <c r="BB12" s="102"/>
      <c r="BC12" s="102"/>
      <c r="BD12" s="102"/>
      <c r="BE12" s="102"/>
      <c r="BF12" s="102"/>
      <c r="BG12" s="98"/>
      <c r="BH12" s="98"/>
      <c r="BI12" s="98"/>
      <c r="BJ12" s="98"/>
      <c r="BK12" s="98"/>
      <c r="BL12" s="102"/>
      <c r="BM12" s="102"/>
      <c r="BN12" s="102"/>
      <c r="BO12" s="102"/>
      <c r="BP12" s="102"/>
      <c r="BQ12" s="100"/>
      <c r="BR12" s="98"/>
      <c r="BS12" s="98"/>
      <c r="BT12" s="98"/>
      <c r="BU12" s="98"/>
      <c r="BV12" s="103"/>
      <c r="BW12" s="103"/>
      <c r="BX12" s="103"/>
      <c r="BY12" s="103"/>
      <c r="BZ12" s="103"/>
      <c r="CA12" s="98"/>
      <c r="CB12" s="98"/>
      <c r="CC12" s="98"/>
      <c r="CD12" s="98"/>
      <c r="CE12" s="98"/>
      <c r="CF12" s="103"/>
      <c r="CG12" s="103"/>
      <c r="CH12" s="103"/>
      <c r="CI12" s="103"/>
      <c r="CJ12" s="103"/>
      <c r="CK12" s="100"/>
      <c r="CL12" s="98"/>
      <c r="CM12" s="98"/>
      <c r="CN12" s="98"/>
      <c r="CO12" s="98"/>
      <c r="CP12" s="100"/>
    </row>
    <row r="13" ht="19.5" customHeight="1">
      <c r="B13" s="91" t="s">
        <v>52</v>
      </c>
      <c r="C13" s="92" t="s">
        <v>53</v>
      </c>
      <c r="D13" s="93"/>
      <c r="E13" s="94"/>
      <c r="F13" s="105"/>
      <c r="G13" s="95" t="str">
        <f t="shared" si="1"/>
        <v/>
      </c>
      <c r="H13" s="96">
        <v>0.0</v>
      </c>
      <c r="I13" s="97"/>
      <c r="J13" s="98"/>
      <c r="K13" s="98"/>
      <c r="L13" s="98"/>
      <c r="M13" s="98"/>
      <c r="N13" s="99"/>
      <c r="O13" s="99"/>
      <c r="P13" s="99"/>
      <c r="Q13" s="99"/>
      <c r="R13" s="99"/>
      <c r="S13" s="98"/>
      <c r="T13" s="98"/>
      <c r="U13" s="98"/>
      <c r="V13" s="98"/>
      <c r="W13" s="98"/>
      <c r="X13" s="99"/>
      <c r="Y13" s="99"/>
      <c r="Z13" s="99"/>
      <c r="AA13" s="99"/>
      <c r="AB13" s="99"/>
      <c r="AC13" s="100"/>
      <c r="AD13" s="98"/>
      <c r="AE13" s="98"/>
      <c r="AF13" s="98"/>
      <c r="AG13" s="98"/>
      <c r="AH13" s="101"/>
      <c r="AI13" s="101"/>
      <c r="AJ13" s="101"/>
      <c r="AK13" s="101"/>
      <c r="AL13" s="101"/>
      <c r="AM13" s="98"/>
      <c r="AN13" s="98"/>
      <c r="AO13" s="98"/>
      <c r="AP13" s="98"/>
      <c r="AQ13" s="98"/>
      <c r="AR13" s="101"/>
      <c r="AS13" s="101"/>
      <c r="AT13" s="101"/>
      <c r="AU13" s="101"/>
      <c r="AV13" s="101"/>
      <c r="AW13" s="100"/>
      <c r="AX13" s="98"/>
      <c r="AY13" s="98"/>
      <c r="AZ13" s="98"/>
      <c r="BA13" s="98"/>
      <c r="BB13" s="102"/>
      <c r="BC13" s="102"/>
      <c r="BD13" s="102"/>
      <c r="BE13" s="102"/>
      <c r="BF13" s="102"/>
      <c r="BG13" s="98"/>
      <c r="BH13" s="98"/>
      <c r="BI13" s="98"/>
      <c r="BJ13" s="98"/>
      <c r="BK13" s="98"/>
      <c r="BL13" s="102"/>
      <c r="BM13" s="102"/>
      <c r="BN13" s="102"/>
      <c r="BO13" s="102"/>
      <c r="BP13" s="102"/>
      <c r="BQ13" s="100"/>
      <c r="BR13" s="98"/>
      <c r="BS13" s="98"/>
      <c r="BT13" s="98"/>
      <c r="BU13" s="98"/>
      <c r="BV13" s="103"/>
      <c r="BW13" s="103"/>
      <c r="BX13" s="103"/>
      <c r="BY13" s="103"/>
      <c r="BZ13" s="103"/>
      <c r="CA13" s="98"/>
      <c r="CB13" s="98"/>
      <c r="CC13" s="98"/>
      <c r="CD13" s="98"/>
      <c r="CE13" s="98"/>
      <c r="CF13" s="103"/>
      <c r="CG13" s="103"/>
      <c r="CH13" s="103"/>
      <c r="CI13" s="103"/>
      <c r="CJ13" s="103"/>
      <c r="CK13" s="100"/>
      <c r="CL13" s="98"/>
      <c r="CM13" s="98"/>
      <c r="CN13" s="98"/>
      <c r="CO13" s="98"/>
      <c r="CP13" s="100"/>
    </row>
    <row r="14" ht="19.5" customHeight="1">
      <c r="B14" s="91" t="s">
        <v>55</v>
      </c>
      <c r="C14" s="92" t="s">
        <v>56</v>
      </c>
      <c r="D14" s="93"/>
      <c r="E14" s="94"/>
      <c r="F14" s="105"/>
      <c r="G14" s="95" t="str">
        <f t="shared" si="1"/>
        <v/>
      </c>
      <c r="H14" s="96">
        <v>0.0</v>
      </c>
      <c r="I14" s="97"/>
      <c r="J14" s="98"/>
      <c r="K14" s="98"/>
      <c r="L14" s="98"/>
      <c r="M14" s="98"/>
      <c r="N14" s="99"/>
      <c r="O14" s="99"/>
      <c r="P14" s="99"/>
      <c r="Q14" s="99"/>
      <c r="R14" s="99"/>
      <c r="S14" s="98"/>
      <c r="T14" s="98"/>
      <c r="U14" s="98"/>
      <c r="V14" s="98"/>
      <c r="W14" s="98"/>
      <c r="X14" s="99"/>
      <c r="Y14" s="99"/>
      <c r="Z14" s="99"/>
      <c r="AA14" s="99"/>
      <c r="AB14" s="99"/>
      <c r="AC14" s="100"/>
      <c r="AD14" s="98"/>
      <c r="AE14" s="98"/>
      <c r="AF14" s="98"/>
      <c r="AG14" s="98"/>
      <c r="AH14" s="101"/>
      <c r="AI14" s="101"/>
      <c r="AJ14" s="101"/>
      <c r="AK14" s="101"/>
      <c r="AL14" s="101"/>
      <c r="AM14" s="98"/>
      <c r="AN14" s="98"/>
      <c r="AO14" s="98"/>
      <c r="AP14" s="98"/>
      <c r="AQ14" s="98"/>
      <c r="AR14" s="101"/>
      <c r="AS14" s="101"/>
      <c r="AT14" s="101"/>
      <c r="AU14" s="101"/>
      <c r="AV14" s="101"/>
      <c r="AW14" s="100"/>
      <c r="AX14" s="98"/>
      <c r="AY14" s="98"/>
      <c r="AZ14" s="98"/>
      <c r="BA14" s="98"/>
      <c r="BB14" s="102"/>
      <c r="BC14" s="102"/>
      <c r="BD14" s="102"/>
      <c r="BE14" s="102"/>
      <c r="BF14" s="102"/>
      <c r="BG14" s="98"/>
      <c r="BH14" s="98"/>
      <c r="BI14" s="98"/>
      <c r="BJ14" s="98"/>
      <c r="BK14" s="98"/>
      <c r="BL14" s="102"/>
      <c r="BM14" s="102"/>
      <c r="BN14" s="102"/>
      <c r="BO14" s="102"/>
      <c r="BP14" s="102"/>
      <c r="BQ14" s="100"/>
      <c r="BR14" s="98"/>
      <c r="BS14" s="98"/>
      <c r="BT14" s="98"/>
      <c r="BU14" s="98"/>
      <c r="BV14" s="103"/>
      <c r="BW14" s="103"/>
      <c r="BX14" s="103"/>
      <c r="BY14" s="103"/>
      <c r="BZ14" s="103"/>
      <c r="CA14" s="98"/>
      <c r="CB14" s="98"/>
      <c r="CC14" s="98"/>
      <c r="CD14" s="98"/>
      <c r="CE14" s="98"/>
      <c r="CF14" s="103"/>
      <c r="CG14" s="103"/>
      <c r="CH14" s="103"/>
      <c r="CI14" s="103"/>
      <c r="CJ14" s="103"/>
      <c r="CK14" s="100"/>
      <c r="CL14" s="98"/>
      <c r="CM14" s="98"/>
      <c r="CN14" s="98"/>
      <c r="CO14" s="98"/>
      <c r="CP14" s="100"/>
    </row>
    <row r="15" ht="19.5" customHeight="1">
      <c r="B15" s="91" t="s">
        <v>57</v>
      </c>
      <c r="C15" s="92" t="s">
        <v>58</v>
      </c>
      <c r="D15" s="93"/>
      <c r="E15" s="94"/>
      <c r="F15" s="105"/>
      <c r="G15" s="95" t="str">
        <f t="shared" si="1"/>
        <v/>
      </c>
      <c r="H15" s="96">
        <v>0.0</v>
      </c>
      <c r="I15" s="97"/>
      <c r="J15" s="98"/>
      <c r="K15" s="98"/>
      <c r="L15" s="98"/>
      <c r="M15" s="98"/>
      <c r="N15" s="99"/>
      <c r="O15" s="99"/>
      <c r="P15" s="99"/>
      <c r="Q15" s="99"/>
      <c r="R15" s="99"/>
      <c r="S15" s="98"/>
      <c r="T15" s="98"/>
      <c r="U15" s="98"/>
      <c r="V15" s="98"/>
      <c r="W15" s="98"/>
      <c r="X15" s="99"/>
      <c r="Y15" s="99"/>
      <c r="Z15" s="99"/>
      <c r="AA15" s="99"/>
      <c r="AB15" s="99"/>
      <c r="AC15" s="100"/>
      <c r="AD15" s="98"/>
      <c r="AE15" s="98"/>
      <c r="AF15" s="98"/>
      <c r="AG15" s="98"/>
      <c r="AH15" s="101"/>
      <c r="AI15" s="101"/>
      <c r="AJ15" s="101"/>
      <c r="AK15" s="101"/>
      <c r="AL15" s="101"/>
      <c r="AM15" s="98"/>
      <c r="AN15" s="98"/>
      <c r="AO15" s="98"/>
      <c r="AP15" s="98"/>
      <c r="AQ15" s="98"/>
      <c r="AR15" s="101"/>
      <c r="AS15" s="101"/>
      <c r="AT15" s="101"/>
      <c r="AU15" s="101"/>
      <c r="AV15" s="101"/>
      <c r="AW15" s="100"/>
      <c r="AX15" s="98"/>
      <c r="AY15" s="98"/>
      <c r="AZ15" s="98"/>
      <c r="BA15" s="98"/>
      <c r="BB15" s="102"/>
      <c r="BC15" s="102"/>
      <c r="BD15" s="102"/>
      <c r="BE15" s="102"/>
      <c r="BF15" s="102"/>
      <c r="BG15" s="98"/>
      <c r="BH15" s="98"/>
      <c r="BI15" s="98"/>
      <c r="BJ15" s="98"/>
      <c r="BK15" s="98"/>
      <c r="BL15" s="102"/>
      <c r="BM15" s="102"/>
      <c r="BN15" s="102"/>
      <c r="BO15" s="102"/>
      <c r="BP15" s="102"/>
      <c r="BQ15" s="100"/>
      <c r="BR15" s="98"/>
      <c r="BS15" s="98"/>
      <c r="BT15" s="98"/>
      <c r="BU15" s="98"/>
      <c r="BV15" s="103"/>
      <c r="BW15" s="103"/>
      <c r="BX15" s="103"/>
      <c r="BY15" s="103"/>
      <c r="BZ15" s="103"/>
      <c r="CA15" s="98"/>
      <c r="CB15" s="98"/>
      <c r="CC15" s="98"/>
      <c r="CD15" s="98"/>
      <c r="CE15" s="98"/>
      <c r="CF15" s="103"/>
      <c r="CG15" s="103"/>
      <c r="CH15" s="103"/>
      <c r="CI15" s="103"/>
      <c r="CJ15" s="103"/>
      <c r="CK15" s="100"/>
      <c r="CL15" s="98"/>
      <c r="CM15" s="98"/>
      <c r="CN15" s="98"/>
      <c r="CO15" s="98"/>
      <c r="CP15" s="100"/>
    </row>
    <row r="16" ht="19.5" customHeight="1">
      <c r="B16" s="91" t="s">
        <v>59</v>
      </c>
      <c r="C16" s="92" t="s">
        <v>60</v>
      </c>
      <c r="D16" s="93"/>
      <c r="E16" s="94"/>
      <c r="F16" s="105"/>
      <c r="G16" s="95" t="str">
        <f t="shared" si="1"/>
        <v/>
      </c>
      <c r="H16" s="96">
        <v>0.0</v>
      </c>
      <c r="I16" s="97"/>
      <c r="J16" s="98"/>
      <c r="K16" s="98"/>
      <c r="L16" s="98"/>
      <c r="M16" s="98"/>
      <c r="N16" s="99"/>
      <c r="O16" s="99"/>
      <c r="P16" s="99"/>
      <c r="Q16" s="99"/>
      <c r="R16" s="99"/>
      <c r="S16" s="98"/>
      <c r="T16" s="98"/>
      <c r="U16" s="98"/>
      <c r="V16" s="98"/>
      <c r="W16" s="98"/>
      <c r="X16" s="99"/>
      <c r="Y16" s="99"/>
      <c r="Z16" s="99"/>
      <c r="AA16" s="99"/>
      <c r="AB16" s="99"/>
      <c r="AC16" s="100"/>
      <c r="AD16" s="98"/>
      <c r="AE16" s="98"/>
      <c r="AF16" s="98"/>
      <c r="AG16" s="98"/>
      <c r="AH16" s="101"/>
      <c r="AI16" s="101"/>
      <c r="AJ16" s="101"/>
      <c r="AK16" s="101"/>
      <c r="AL16" s="101"/>
      <c r="AM16" s="98"/>
      <c r="AN16" s="98"/>
      <c r="AO16" s="98"/>
      <c r="AP16" s="98"/>
      <c r="AQ16" s="98"/>
      <c r="AR16" s="101"/>
      <c r="AS16" s="101"/>
      <c r="AT16" s="101"/>
      <c r="AU16" s="101"/>
      <c r="AV16" s="101"/>
      <c r="AW16" s="100"/>
      <c r="AX16" s="98"/>
      <c r="AY16" s="98"/>
      <c r="AZ16" s="98"/>
      <c r="BA16" s="98"/>
      <c r="BB16" s="102"/>
      <c r="BC16" s="102"/>
      <c r="BD16" s="102"/>
      <c r="BE16" s="102"/>
      <c r="BF16" s="102"/>
      <c r="BG16" s="98"/>
      <c r="BH16" s="98"/>
      <c r="BI16" s="98"/>
      <c r="BJ16" s="98"/>
      <c r="BK16" s="98"/>
      <c r="BL16" s="102"/>
      <c r="BM16" s="102"/>
      <c r="BN16" s="102"/>
      <c r="BO16" s="102"/>
      <c r="BP16" s="102"/>
      <c r="BQ16" s="100"/>
      <c r="BR16" s="98"/>
      <c r="BS16" s="98"/>
      <c r="BT16" s="98"/>
      <c r="BU16" s="98"/>
      <c r="BV16" s="103"/>
      <c r="BW16" s="103"/>
      <c r="BX16" s="103"/>
      <c r="BY16" s="103"/>
      <c r="BZ16" s="103"/>
      <c r="CA16" s="98"/>
      <c r="CB16" s="98"/>
      <c r="CC16" s="98"/>
      <c r="CD16" s="98"/>
      <c r="CE16" s="98"/>
      <c r="CF16" s="103"/>
      <c r="CG16" s="103"/>
      <c r="CH16" s="103"/>
      <c r="CI16" s="103"/>
      <c r="CJ16" s="103"/>
      <c r="CK16" s="100"/>
      <c r="CL16" s="98"/>
      <c r="CM16" s="98"/>
      <c r="CN16" s="98"/>
      <c r="CO16" s="98"/>
      <c r="CP16" s="100"/>
    </row>
    <row r="17" ht="19.5" customHeight="1">
      <c r="B17" s="91" t="s">
        <v>61</v>
      </c>
      <c r="C17" s="92" t="s">
        <v>62</v>
      </c>
      <c r="D17" s="93"/>
      <c r="E17" s="94"/>
      <c r="F17" s="105"/>
      <c r="G17" s="95" t="str">
        <f t="shared" si="1"/>
        <v/>
      </c>
      <c r="H17" s="96">
        <v>0.0</v>
      </c>
      <c r="I17" s="97"/>
      <c r="J17" s="98"/>
      <c r="K17" s="98"/>
      <c r="L17" s="98"/>
      <c r="M17" s="98"/>
      <c r="N17" s="99"/>
      <c r="O17" s="99"/>
      <c r="P17" s="99"/>
      <c r="Q17" s="99"/>
      <c r="R17" s="99"/>
      <c r="S17" s="98"/>
      <c r="T17" s="98"/>
      <c r="U17" s="98"/>
      <c r="V17" s="98"/>
      <c r="W17" s="98"/>
      <c r="X17" s="99"/>
      <c r="Y17" s="99"/>
      <c r="Z17" s="99"/>
      <c r="AA17" s="99"/>
      <c r="AB17" s="99"/>
      <c r="AC17" s="100"/>
      <c r="AD17" s="98"/>
      <c r="AE17" s="98"/>
      <c r="AF17" s="98"/>
      <c r="AG17" s="98"/>
      <c r="AH17" s="101"/>
      <c r="AI17" s="101"/>
      <c r="AJ17" s="101"/>
      <c r="AK17" s="101"/>
      <c r="AL17" s="101"/>
      <c r="AM17" s="98"/>
      <c r="AN17" s="98"/>
      <c r="AO17" s="98"/>
      <c r="AP17" s="98"/>
      <c r="AQ17" s="98"/>
      <c r="AR17" s="101"/>
      <c r="AS17" s="101"/>
      <c r="AT17" s="101"/>
      <c r="AU17" s="101"/>
      <c r="AV17" s="101"/>
      <c r="AW17" s="100"/>
      <c r="AX17" s="98"/>
      <c r="AY17" s="98"/>
      <c r="AZ17" s="98"/>
      <c r="BA17" s="98"/>
      <c r="BB17" s="102"/>
      <c r="BC17" s="102"/>
      <c r="BD17" s="102"/>
      <c r="BE17" s="102"/>
      <c r="BF17" s="102"/>
      <c r="BG17" s="98"/>
      <c r="BH17" s="98"/>
      <c r="BI17" s="98"/>
      <c r="BJ17" s="98"/>
      <c r="BK17" s="98"/>
      <c r="BL17" s="102"/>
      <c r="BM17" s="102"/>
      <c r="BN17" s="102"/>
      <c r="BO17" s="102"/>
      <c r="BP17" s="102"/>
      <c r="BQ17" s="100"/>
      <c r="BR17" s="98"/>
      <c r="BS17" s="98"/>
      <c r="BT17" s="98"/>
      <c r="BU17" s="98"/>
      <c r="BV17" s="103"/>
      <c r="BW17" s="103"/>
      <c r="BX17" s="103"/>
      <c r="BY17" s="103"/>
      <c r="BZ17" s="103"/>
      <c r="CA17" s="98"/>
      <c r="CB17" s="98"/>
      <c r="CC17" s="98"/>
      <c r="CD17" s="98"/>
      <c r="CE17" s="98"/>
      <c r="CF17" s="103"/>
      <c r="CG17" s="103"/>
      <c r="CH17" s="103"/>
      <c r="CI17" s="103"/>
      <c r="CJ17" s="103"/>
      <c r="CK17" s="100"/>
      <c r="CL17" s="98"/>
      <c r="CM17" s="98"/>
      <c r="CN17" s="98"/>
      <c r="CO17" s="98"/>
      <c r="CP17" s="100"/>
    </row>
    <row r="18" ht="19.5" customHeight="1">
      <c r="B18" s="91">
        <v>2.0</v>
      </c>
      <c r="C18" s="109" t="s">
        <v>63</v>
      </c>
      <c r="D18" s="110"/>
      <c r="E18" s="111"/>
      <c r="F18" s="113"/>
      <c r="G18" s="114" t="str">
        <f t="shared" si="1"/>
        <v/>
      </c>
      <c r="H18" s="116"/>
      <c r="I18" s="85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7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7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7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7"/>
      <c r="CL18" s="86"/>
      <c r="CM18" s="86"/>
      <c r="CN18" s="86"/>
      <c r="CO18" s="86"/>
      <c r="CP18" s="87"/>
    </row>
    <row r="19" ht="19.5" customHeight="1">
      <c r="B19" s="91" t="s">
        <v>67</v>
      </c>
      <c r="C19" s="92" t="s">
        <v>68</v>
      </c>
      <c r="D19" s="93"/>
      <c r="E19" s="94"/>
      <c r="F19" s="105"/>
      <c r="G19" s="95" t="str">
        <f t="shared" si="1"/>
        <v/>
      </c>
      <c r="H19" s="96">
        <v>0.0</v>
      </c>
      <c r="I19" s="97"/>
      <c r="J19" s="98"/>
      <c r="K19" s="98"/>
      <c r="L19" s="98"/>
      <c r="M19" s="98"/>
      <c r="N19" s="99"/>
      <c r="O19" s="99"/>
      <c r="P19" s="99"/>
      <c r="Q19" s="99"/>
      <c r="R19" s="99"/>
      <c r="S19" s="98"/>
      <c r="T19" s="98"/>
      <c r="U19" s="98"/>
      <c r="V19" s="98"/>
      <c r="W19" s="98"/>
      <c r="X19" s="99"/>
      <c r="Y19" s="99"/>
      <c r="Z19" s="99"/>
      <c r="AA19" s="99"/>
      <c r="AB19" s="99"/>
      <c r="AC19" s="100"/>
      <c r="AD19" s="98"/>
      <c r="AE19" s="98"/>
      <c r="AF19" s="98"/>
      <c r="AG19" s="98"/>
      <c r="AH19" s="101"/>
      <c r="AI19" s="101"/>
      <c r="AJ19" s="101"/>
      <c r="AK19" s="101"/>
      <c r="AL19" s="101"/>
      <c r="AM19" s="98"/>
      <c r="AN19" s="98"/>
      <c r="AO19" s="98"/>
      <c r="AP19" s="98"/>
      <c r="AQ19" s="98"/>
      <c r="AR19" s="101"/>
      <c r="AS19" s="101"/>
      <c r="AT19" s="101"/>
      <c r="AU19" s="101"/>
      <c r="AV19" s="101"/>
      <c r="AW19" s="100"/>
      <c r="AX19" s="98"/>
      <c r="AY19" s="98"/>
      <c r="AZ19" s="98"/>
      <c r="BA19" s="98"/>
      <c r="BB19" s="102"/>
      <c r="BC19" s="102"/>
      <c r="BD19" s="102"/>
      <c r="BE19" s="102"/>
      <c r="BF19" s="102"/>
      <c r="BG19" s="98"/>
      <c r="BH19" s="98"/>
      <c r="BI19" s="98"/>
      <c r="BJ19" s="98"/>
      <c r="BK19" s="98"/>
      <c r="BL19" s="102"/>
      <c r="BM19" s="102"/>
      <c r="BN19" s="102"/>
      <c r="BO19" s="102"/>
      <c r="BP19" s="102"/>
      <c r="BQ19" s="100"/>
      <c r="BR19" s="98"/>
      <c r="BS19" s="98"/>
      <c r="BT19" s="98"/>
      <c r="BU19" s="98"/>
      <c r="BV19" s="103"/>
      <c r="BW19" s="103"/>
      <c r="BX19" s="103"/>
      <c r="BY19" s="103"/>
      <c r="BZ19" s="103"/>
      <c r="CA19" s="98"/>
      <c r="CB19" s="98"/>
      <c r="CC19" s="98"/>
      <c r="CD19" s="98"/>
      <c r="CE19" s="98"/>
      <c r="CF19" s="103"/>
      <c r="CG19" s="103"/>
      <c r="CH19" s="103"/>
      <c r="CI19" s="103"/>
      <c r="CJ19" s="103"/>
      <c r="CK19" s="100"/>
      <c r="CL19" s="98"/>
      <c r="CM19" s="98"/>
      <c r="CN19" s="98"/>
      <c r="CO19" s="98"/>
      <c r="CP19" s="100"/>
    </row>
    <row r="20" ht="19.5" customHeight="1">
      <c r="B20" s="91" t="s">
        <v>70</v>
      </c>
      <c r="C20" s="92" t="s">
        <v>71</v>
      </c>
      <c r="D20" s="93"/>
      <c r="E20" s="94"/>
      <c r="F20" s="105"/>
      <c r="G20" s="95" t="str">
        <f t="shared" si="1"/>
        <v/>
      </c>
      <c r="H20" s="96">
        <v>0.0</v>
      </c>
      <c r="I20" s="97"/>
      <c r="J20" s="98"/>
      <c r="K20" s="98"/>
      <c r="L20" s="98"/>
      <c r="M20" s="98"/>
      <c r="N20" s="99"/>
      <c r="O20" s="99"/>
      <c r="P20" s="99"/>
      <c r="Q20" s="99"/>
      <c r="R20" s="99"/>
      <c r="S20" s="98"/>
      <c r="T20" s="98"/>
      <c r="U20" s="98"/>
      <c r="V20" s="98"/>
      <c r="W20" s="98"/>
      <c r="X20" s="99"/>
      <c r="Y20" s="99"/>
      <c r="Z20" s="99"/>
      <c r="AA20" s="99"/>
      <c r="AB20" s="99"/>
      <c r="AC20" s="100"/>
      <c r="AD20" s="98"/>
      <c r="AE20" s="98"/>
      <c r="AF20" s="98"/>
      <c r="AG20" s="98"/>
      <c r="AH20" s="101"/>
      <c r="AI20" s="101"/>
      <c r="AJ20" s="101"/>
      <c r="AK20" s="101"/>
      <c r="AL20" s="101"/>
      <c r="AM20" s="98"/>
      <c r="AN20" s="98"/>
      <c r="AO20" s="98"/>
      <c r="AP20" s="98"/>
      <c r="AQ20" s="98"/>
      <c r="AR20" s="101"/>
      <c r="AS20" s="101"/>
      <c r="AT20" s="101"/>
      <c r="AU20" s="101"/>
      <c r="AV20" s="101"/>
      <c r="AW20" s="100"/>
      <c r="AX20" s="98"/>
      <c r="AY20" s="98"/>
      <c r="AZ20" s="98"/>
      <c r="BA20" s="98"/>
      <c r="BB20" s="102"/>
      <c r="BC20" s="102"/>
      <c r="BD20" s="102"/>
      <c r="BE20" s="102"/>
      <c r="BF20" s="102"/>
      <c r="BG20" s="98"/>
      <c r="BH20" s="98"/>
      <c r="BI20" s="98"/>
      <c r="BJ20" s="98"/>
      <c r="BK20" s="98"/>
      <c r="BL20" s="102"/>
      <c r="BM20" s="102"/>
      <c r="BN20" s="102"/>
      <c r="BO20" s="102"/>
      <c r="BP20" s="102"/>
      <c r="BQ20" s="100"/>
      <c r="BR20" s="98"/>
      <c r="BS20" s="98"/>
      <c r="BT20" s="98"/>
      <c r="BU20" s="98"/>
      <c r="BV20" s="103"/>
      <c r="BW20" s="103"/>
      <c r="BX20" s="103"/>
      <c r="BY20" s="103"/>
      <c r="BZ20" s="103"/>
      <c r="CA20" s="98"/>
      <c r="CB20" s="98"/>
      <c r="CC20" s="98"/>
      <c r="CD20" s="98"/>
      <c r="CE20" s="98"/>
      <c r="CF20" s="103"/>
      <c r="CG20" s="103"/>
      <c r="CH20" s="103"/>
      <c r="CI20" s="103"/>
      <c r="CJ20" s="103"/>
      <c r="CK20" s="100"/>
      <c r="CL20" s="98"/>
      <c r="CM20" s="98"/>
      <c r="CN20" s="98"/>
      <c r="CO20" s="98"/>
      <c r="CP20" s="100"/>
    </row>
    <row r="21" ht="19.5" customHeight="1">
      <c r="B21" s="91" t="s">
        <v>72</v>
      </c>
      <c r="C21" s="92" t="s">
        <v>73</v>
      </c>
      <c r="D21" s="93"/>
      <c r="E21" s="94"/>
      <c r="F21" s="105"/>
      <c r="G21" s="95" t="str">
        <f t="shared" si="1"/>
        <v/>
      </c>
      <c r="H21" s="96">
        <v>0.0</v>
      </c>
      <c r="I21" s="97"/>
      <c r="J21" s="98"/>
      <c r="K21" s="98"/>
      <c r="L21" s="98"/>
      <c r="M21" s="98"/>
      <c r="N21" s="99"/>
      <c r="O21" s="99"/>
      <c r="P21" s="99"/>
      <c r="Q21" s="99"/>
      <c r="R21" s="99"/>
      <c r="S21" s="98"/>
      <c r="T21" s="98"/>
      <c r="U21" s="98"/>
      <c r="V21" s="98"/>
      <c r="W21" s="98"/>
      <c r="X21" s="99"/>
      <c r="Y21" s="99"/>
      <c r="Z21" s="99"/>
      <c r="AA21" s="99"/>
      <c r="AB21" s="99"/>
      <c r="AC21" s="100"/>
      <c r="AD21" s="98"/>
      <c r="AE21" s="98"/>
      <c r="AF21" s="98"/>
      <c r="AG21" s="98"/>
      <c r="AH21" s="101"/>
      <c r="AI21" s="101"/>
      <c r="AJ21" s="101"/>
      <c r="AK21" s="101"/>
      <c r="AL21" s="101"/>
      <c r="AM21" s="98"/>
      <c r="AN21" s="98"/>
      <c r="AO21" s="98"/>
      <c r="AP21" s="98"/>
      <c r="AQ21" s="98"/>
      <c r="AR21" s="101"/>
      <c r="AS21" s="101"/>
      <c r="AT21" s="101"/>
      <c r="AU21" s="101"/>
      <c r="AV21" s="101"/>
      <c r="AW21" s="100"/>
      <c r="AX21" s="98"/>
      <c r="AY21" s="98"/>
      <c r="AZ21" s="98"/>
      <c r="BA21" s="98"/>
      <c r="BB21" s="102"/>
      <c r="BC21" s="102"/>
      <c r="BD21" s="102"/>
      <c r="BE21" s="102"/>
      <c r="BF21" s="102"/>
      <c r="BG21" s="98"/>
      <c r="BH21" s="98"/>
      <c r="BI21" s="98"/>
      <c r="BJ21" s="98"/>
      <c r="BK21" s="98"/>
      <c r="BL21" s="102"/>
      <c r="BM21" s="102"/>
      <c r="BN21" s="102"/>
      <c r="BO21" s="102"/>
      <c r="BP21" s="102"/>
      <c r="BQ21" s="100"/>
      <c r="BR21" s="98"/>
      <c r="BS21" s="98"/>
      <c r="BT21" s="98"/>
      <c r="BU21" s="98"/>
      <c r="BV21" s="103"/>
      <c r="BW21" s="103"/>
      <c r="BX21" s="103"/>
      <c r="BY21" s="103"/>
      <c r="BZ21" s="103"/>
      <c r="CA21" s="98"/>
      <c r="CB21" s="98"/>
      <c r="CC21" s="98"/>
      <c r="CD21" s="98"/>
      <c r="CE21" s="98"/>
      <c r="CF21" s="103"/>
      <c r="CG21" s="103"/>
      <c r="CH21" s="103"/>
      <c r="CI21" s="103"/>
      <c r="CJ21" s="103"/>
      <c r="CK21" s="100"/>
      <c r="CL21" s="98"/>
      <c r="CM21" s="98"/>
      <c r="CN21" s="98"/>
      <c r="CO21" s="98"/>
      <c r="CP21" s="100"/>
    </row>
    <row r="22" ht="19.5" customHeight="1">
      <c r="B22" s="91" t="s">
        <v>74</v>
      </c>
      <c r="C22" s="92" t="s">
        <v>75</v>
      </c>
      <c r="D22" s="93"/>
      <c r="E22" s="94"/>
      <c r="F22" s="105"/>
      <c r="G22" s="95" t="str">
        <f t="shared" si="1"/>
        <v/>
      </c>
      <c r="H22" s="96">
        <v>0.0</v>
      </c>
      <c r="I22" s="97"/>
      <c r="J22" s="98"/>
      <c r="K22" s="98"/>
      <c r="L22" s="98"/>
      <c r="M22" s="98"/>
      <c r="N22" s="99"/>
      <c r="O22" s="99"/>
      <c r="P22" s="99"/>
      <c r="Q22" s="99"/>
      <c r="R22" s="99"/>
      <c r="S22" s="98"/>
      <c r="T22" s="98"/>
      <c r="U22" s="98"/>
      <c r="V22" s="98"/>
      <c r="W22" s="98"/>
      <c r="X22" s="99"/>
      <c r="Y22" s="99"/>
      <c r="Z22" s="99"/>
      <c r="AA22" s="99"/>
      <c r="AB22" s="99"/>
      <c r="AC22" s="100"/>
      <c r="AD22" s="98"/>
      <c r="AE22" s="98"/>
      <c r="AF22" s="98"/>
      <c r="AG22" s="98"/>
      <c r="AH22" s="101"/>
      <c r="AI22" s="101"/>
      <c r="AJ22" s="101"/>
      <c r="AK22" s="101"/>
      <c r="AL22" s="101"/>
      <c r="AM22" s="98"/>
      <c r="AN22" s="98"/>
      <c r="AO22" s="98"/>
      <c r="AP22" s="98"/>
      <c r="AQ22" s="98"/>
      <c r="AR22" s="101"/>
      <c r="AS22" s="101"/>
      <c r="AT22" s="101"/>
      <c r="AU22" s="101"/>
      <c r="AV22" s="101"/>
      <c r="AW22" s="100"/>
      <c r="AX22" s="98"/>
      <c r="AY22" s="98"/>
      <c r="AZ22" s="98"/>
      <c r="BA22" s="98"/>
      <c r="BB22" s="102"/>
      <c r="BC22" s="102"/>
      <c r="BD22" s="102"/>
      <c r="BE22" s="102"/>
      <c r="BF22" s="102"/>
      <c r="BG22" s="98"/>
      <c r="BH22" s="98"/>
      <c r="BI22" s="98"/>
      <c r="BJ22" s="98"/>
      <c r="BK22" s="98"/>
      <c r="BL22" s="102"/>
      <c r="BM22" s="102"/>
      <c r="BN22" s="102"/>
      <c r="BO22" s="102"/>
      <c r="BP22" s="102"/>
      <c r="BQ22" s="100"/>
      <c r="BR22" s="98"/>
      <c r="BS22" s="98"/>
      <c r="BT22" s="98"/>
      <c r="BU22" s="98"/>
      <c r="BV22" s="103"/>
      <c r="BW22" s="103"/>
      <c r="BX22" s="103"/>
      <c r="BY22" s="103"/>
      <c r="BZ22" s="103"/>
      <c r="CA22" s="98"/>
      <c r="CB22" s="98"/>
      <c r="CC22" s="98"/>
      <c r="CD22" s="98"/>
      <c r="CE22" s="98"/>
      <c r="CF22" s="103"/>
      <c r="CG22" s="103"/>
      <c r="CH22" s="103"/>
      <c r="CI22" s="103"/>
      <c r="CJ22" s="103"/>
      <c r="CK22" s="100"/>
      <c r="CL22" s="98"/>
      <c r="CM22" s="98"/>
      <c r="CN22" s="98"/>
      <c r="CO22" s="98"/>
      <c r="CP22" s="100"/>
    </row>
    <row r="23" ht="19.5" customHeight="1">
      <c r="B23" s="91">
        <v>3.0</v>
      </c>
      <c r="C23" s="109" t="s">
        <v>76</v>
      </c>
      <c r="D23" s="110"/>
      <c r="E23" s="111"/>
      <c r="F23" s="113"/>
      <c r="G23" s="114" t="str">
        <f t="shared" si="1"/>
        <v/>
      </c>
      <c r="H23" s="116"/>
      <c r="I23" s="85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7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7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7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7"/>
      <c r="CL23" s="86"/>
      <c r="CM23" s="86"/>
      <c r="CN23" s="86"/>
      <c r="CO23" s="86"/>
      <c r="CP23" s="87"/>
    </row>
    <row r="24" ht="19.5" customHeight="1">
      <c r="B24" s="91" t="s">
        <v>77</v>
      </c>
      <c r="C24" s="92" t="s">
        <v>78</v>
      </c>
      <c r="D24" s="93"/>
      <c r="E24" s="94"/>
      <c r="F24" s="105"/>
      <c r="G24" s="95" t="str">
        <f t="shared" si="1"/>
        <v/>
      </c>
      <c r="H24" s="96">
        <v>0.0</v>
      </c>
      <c r="I24" s="97"/>
      <c r="J24" s="98"/>
      <c r="K24" s="98"/>
      <c r="L24" s="98"/>
      <c r="M24" s="98"/>
      <c r="N24" s="99"/>
      <c r="O24" s="99"/>
      <c r="P24" s="99"/>
      <c r="Q24" s="99"/>
      <c r="R24" s="99"/>
      <c r="S24" s="98"/>
      <c r="T24" s="98"/>
      <c r="U24" s="98"/>
      <c r="V24" s="98"/>
      <c r="W24" s="98"/>
      <c r="X24" s="99"/>
      <c r="Y24" s="99"/>
      <c r="Z24" s="99"/>
      <c r="AA24" s="99"/>
      <c r="AB24" s="99"/>
      <c r="AC24" s="100"/>
      <c r="AD24" s="98"/>
      <c r="AE24" s="98"/>
      <c r="AF24" s="98"/>
      <c r="AG24" s="98"/>
      <c r="AH24" s="101"/>
      <c r="AI24" s="101"/>
      <c r="AJ24" s="101"/>
      <c r="AK24" s="101"/>
      <c r="AL24" s="101"/>
      <c r="AM24" s="98"/>
      <c r="AN24" s="98"/>
      <c r="AO24" s="98"/>
      <c r="AP24" s="98"/>
      <c r="AQ24" s="98"/>
      <c r="AR24" s="101"/>
      <c r="AS24" s="101"/>
      <c r="AT24" s="101"/>
      <c r="AU24" s="101"/>
      <c r="AV24" s="101"/>
      <c r="AW24" s="100"/>
      <c r="AX24" s="98"/>
      <c r="AY24" s="98"/>
      <c r="AZ24" s="98"/>
      <c r="BA24" s="98"/>
      <c r="BB24" s="102"/>
      <c r="BC24" s="102"/>
      <c r="BD24" s="102"/>
      <c r="BE24" s="102"/>
      <c r="BF24" s="102"/>
      <c r="BG24" s="98"/>
      <c r="BH24" s="98"/>
      <c r="BI24" s="98"/>
      <c r="BJ24" s="98"/>
      <c r="BK24" s="98"/>
      <c r="BL24" s="102"/>
      <c r="BM24" s="102"/>
      <c r="BN24" s="102"/>
      <c r="BO24" s="102"/>
      <c r="BP24" s="102"/>
      <c r="BQ24" s="100"/>
      <c r="BR24" s="98"/>
      <c r="BS24" s="98"/>
      <c r="BT24" s="98"/>
      <c r="BU24" s="98"/>
      <c r="BV24" s="103"/>
      <c r="BW24" s="103"/>
      <c r="BX24" s="103"/>
      <c r="BY24" s="103"/>
      <c r="BZ24" s="103"/>
      <c r="CA24" s="98"/>
      <c r="CB24" s="98"/>
      <c r="CC24" s="98"/>
      <c r="CD24" s="98"/>
      <c r="CE24" s="98"/>
      <c r="CF24" s="103"/>
      <c r="CG24" s="103"/>
      <c r="CH24" s="103"/>
      <c r="CI24" s="103"/>
      <c r="CJ24" s="103"/>
      <c r="CK24" s="100"/>
      <c r="CL24" s="98"/>
      <c r="CM24" s="98"/>
      <c r="CN24" s="98"/>
      <c r="CO24" s="98"/>
      <c r="CP24" s="100"/>
    </row>
    <row r="25" ht="19.5" customHeight="1">
      <c r="B25" s="91" t="s">
        <v>79</v>
      </c>
      <c r="C25" s="92" t="s">
        <v>80</v>
      </c>
      <c r="D25" s="93"/>
      <c r="E25" s="94"/>
      <c r="F25" s="105"/>
      <c r="G25" s="95" t="str">
        <f t="shared" si="1"/>
        <v/>
      </c>
      <c r="H25" s="96">
        <v>0.0</v>
      </c>
      <c r="I25" s="97"/>
      <c r="J25" s="98"/>
      <c r="K25" s="98"/>
      <c r="L25" s="98"/>
      <c r="M25" s="98"/>
      <c r="N25" s="99"/>
      <c r="O25" s="99"/>
      <c r="P25" s="99"/>
      <c r="Q25" s="99"/>
      <c r="R25" s="99"/>
      <c r="S25" s="98"/>
      <c r="T25" s="98"/>
      <c r="U25" s="98"/>
      <c r="V25" s="98"/>
      <c r="W25" s="98"/>
      <c r="X25" s="99"/>
      <c r="Y25" s="99"/>
      <c r="Z25" s="99"/>
      <c r="AA25" s="99"/>
      <c r="AB25" s="99"/>
      <c r="AC25" s="100"/>
      <c r="AD25" s="98"/>
      <c r="AE25" s="98"/>
      <c r="AF25" s="98"/>
      <c r="AG25" s="98"/>
      <c r="AH25" s="101"/>
      <c r="AI25" s="101"/>
      <c r="AJ25" s="101"/>
      <c r="AK25" s="101"/>
      <c r="AL25" s="101"/>
      <c r="AM25" s="98"/>
      <c r="AN25" s="98"/>
      <c r="AO25" s="98"/>
      <c r="AP25" s="98"/>
      <c r="AQ25" s="98"/>
      <c r="AR25" s="101"/>
      <c r="AS25" s="101"/>
      <c r="AT25" s="101"/>
      <c r="AU25" s="101"/>
      <c r="AV25" s="101"/>
      <c r="AW25" s="100"/>
      <c r="AX25" s="98"/>
      <c r="AY25" s="98"/>
      <c r="AZ25" s="98"/>
      <c r="BA25" s="98"/>
      <c r="BB25" s="102"/>
      <c r="BC25" s="102"/>
      <c r="BD25" s="102"/>
      <c r="BE25" s="102"/>
      <c r="BF25" s="102"/>
      <c r="BG25" s="98"/>
      <c r="BH25" s="98"/>
      <c r="BI25" s="98"/>
      <c r="BJ25" s="98"/>
      <c r="BK25" s="98"/>
      <c r="BL25" s="102"/>
      <c r="BM25" s="102"/>
      <c r="BN25" s="102"/>
      <c r="BO25" s="102"/>
      <c r="BP25" s="102"/>
      <c r="BQ25" s="100"/>
      <c r="BR25" s="98"/>
      <c r="BS25" s="98"/>
      <c r="BT25" s="98"/>
      <c r="BU25" s="98"/>
      <c r="BV25" s="103"/>
      <c r="BW25" s="103"/>
      <c r="BX25" s="103"/>
      <c r="BY25" s="103"/>
      <c r="BZ25" s="103"/>
      <c r="CA25" s="98"/>
      <c r="CB25" s="98"/>
      <c r="CC25" s="98"/>
      <c r="CD25" s="98"/>
      <c r="CE25" s="98"/>
      <c r="CF25" s="103"/>
      <c r="CG25" s="103"/>
      <c r="CH25" s="103"/>
      <c r="CI25" s="103"/>
      <c r="CJ25" s="103"/>
      <c r="CK25" s="100"/>
      <c r="CL25" s="98"/>
      <c r="CM25" s="98"/>
      <c r="CN25" s="98"/>
      <c r="CO25" s="98"/>
      <c r="CP25" s="100"/>
    </row>
    <row r="26" ht="19.5" customHeight="1">
      <c r="B26" s="91" t="s">
        <v>81</v>
      </c>
      <c r="C26" s="92" t="s">
        <v>82</v>
      </c>
      <c r="D26" s="93"/>
      <c r="E26" s="94"/>
      <c r="F26" s="105"/>
      <c r="G26" s="95" t="str">
        <f t="shared" si="1"/>
        <v/>
      </c>
      <c r="H26" s="96">
        <v>0.0</v>
      </c>
      <c r="I26" s="97"/>
      <c r="J26" s="98"/>
      <c r="K26" s="98"/>
      <c r="L26" s="98"/>
      <c r="M26" s="98"/>
      <c r="N26" s="99"/>
      <c r="O26" s="99"/>
      <c r="P26" s="99"/>
      <c r="Q26" s="99"/>
      <c r="R26" s="99"/>
      <c r="S26" s="98"/>
      <c r="T26" s="98"/>
      <c r="U26" s="98"/>
      <c r="V26" s="98"/>
      <c r="W26" s="98"/>
      <c r="X26" s="99"/>
      <c r="Y26" s="99"/>
      <c r="Z26" s="99"/>
      <c r="AA26" s="99"/>
      <c r="AB26" s="99"/>
      <c r="AC26" s="100"/>
      <c r="AD26" s="98"/>
      <c r="AE26" s="98"/>
      <c r="AF26" s="98"/>
      <c r="AG26" s="98"/>
      <c r="AH26" s="101"/>
      <c r="AI26" s="101"/>
      <c r="AJ26" s="101"/>
      <c r="AK26" s="101"/>
      <c r="AL26" s="101"/>
      <c r="AM26" s="98"/>
      <c r="AN26" s="98"/>
      <c r="AO26" s="98"/>
      <c r="AP26" s="98"/>
      <c r="AQ26" s="98"/>
      <c r="AR26" s="101"/>
      <c r="AS26" s="101"/>
      <c r="AT26" s="101"/>
      <c r="AU26" s="101"/>
      <c r="AV26" s="101"/>
      <c r="AW26" s="100"/>
      <c r="AX26" s="98"/>
      <c r="AY26" s="98"/>
      <c r="AZ26" s="98"/>
      <c r="BA26" s="98"/>
      <c r="BB26" s="102"/>
      <c r="BC26" s="102"/>
      <c r="BD26" s="102"/>
      <c r="BE26" s="102"/>
      <c r="BF26" s="102"/>
      <c r="BG26" s="98"/>
      <c r="BH26" s="98"/>
      <c r="BI26" s="98"/>
      <c r="BJ26" s="98"/>
      <c r="BK26" s="98"/>
      <c r="BL26" s="102"/>
      <c r="BM26" s="102"/>
      <c r="BN26" s="102"/>
      <c r="BO26" s="102"/>
      <c r="BP26" s="102"/>
      <c r="BQ26" s="100"/>
      <c r="BR26" s="98"/>
      <c r="BS26" s="98"/>
      <c r="BT26" s="98"/>
      <c r="BU26" s="98"/>
      <c r="BV26" s="103"/>
      <c r="BW26" s="103"/>
      <c r="BX26" s="103"/>
      <c r="BY26" s="103"/>
      <c r="BZ26" s="103"/>
      <c r="CA26" s="98"/>
      <c r="CB26" s="98"/>
      <c r="CC26" s="98"/>
      <c r="CD26" s="98"/>
      <c r="CE26" s="98"/>
      <c r="CF26" s="103"/>
      <c r="CG26" s="103"/>
      <c r="CH26" s="103"/>
      <c r="CI26" s="103"/>
      <c r="CJ26" s="103"/>
      <c r="CK26" s="100"/>
      <c r="CL26" s="98"/>
      <c r="CM26" s="98"/>
      <c r="CN26" s="98"/>
      <c r="CO26" s="98"/>
      <c r="CP26" s="100"/>
    </row>
    <row r="27" ht="19.5" customHeight="1">
      <c r="B27" s="91" t="s">
        <v>83</v>
      </c>
      <c r="C27" s="92" t="s">
        <v>84</v>
      </c>
      <c r="D27" s="93"/>
      <c r="E27" s="94"/>
      <c r="F27" s="105"/>
      <c r="G27" s="95" t="str">
        <f t="shared" si="1"/>
        <v/>
      </c>
      <c r="H27" s="96">
        <v>0.0</v>
      </c>
      <c r="I27" s="97"/>
      <c r="J27" s="98"/>
      <c r="K27" s="98"/>
      <c r="L27" s="98"/>
      <c r="M27" s="98"/>
      <c r="N27" s="99"/>
      <c r="O27" s="99"/>
      <c r="P27" s="99"/>
      <c r="Q27" s="99"/>
      <c r="R27" s="99"/>
      <c r="S27" s="98"/>
      <c r="T27" s="98"/>
      <c r="U27" s="98" t="s">
        <v>85</v>
      </c>
      <c r="V27" s="98"/>
      <c r="W27" s="98"/>
      <c r="X27" s="99"/>
      <c r="Y27" s="99"/>
      <c r="Z27" s="99" t="s">
        <v>85</v>
      </c>
      <c r="AA27" s="99"/>
      <c r="AB27" s="99"/>
      <c r="AC27" s="100"/>
      <c r="AD27" s="98"/>
      <c r="AE27" s="98"/>
      <c r="AF27" s="98"/>
      <c r="AG27" s="98"/>
      <c r="AH27" s="101"/>
      <c r="AI27" s="101"/>
      <c r="AJ27" s="101"/>
      <c r="AK27" s="101"/>
      <c r="AL27" s="101"/>
      <c r="AM27" s="98"/>
      <c r="AN27" s="98"/>
      <c r="AO27" s="98"/>
      <c r="AP27" s="98"/>
      <c r="AQ27" s="98"/>
      <c r="AR27" s="101"/>
      <c r="AS27" s="101"/>
      <c r="AT27" s="101"/>
      <c r="AU27" s="101"/>
      <c r="AV27" s="101"/>
      <c r="AW27" s="100"/>
      <c r="AX27" s="98"/>
      <c r="AY27" s="98"/>
      <c r="AZ27" s="98"/>
      <c r="BA27" s="98"/>
      <c r="BB27" s="102"/>
      <c r="BC27" s="102"/>
      <c r="BD27" s="102"/>
      <c r="BE27" s="102"/>
      <c r="BF27" s="102"/>
      <c r="BG27" s="98"/>
      <c r="BH27" s="98"/>
      <c r="BI27" s="98"/>
      <c r="BJ27" s="98"/>
      <c r="BK27" s="98"/>
      <c r="BL27" s="102"/>
      <c r="BM27" s="102"/>
      <c r="BN27" s="102"/>
      <c r="BO27" s="102"/>
      <c r="BP27" s="102"/>
      <c r="BQ27" s="100"/>
      <c r="BR27" s="98"/>
      <c r="BS27" s="98"/>
      <c r="BT27" s="98"/>
      <c r="BU27" s="98"/>
      <c r="BV27" s="103"/>
      <c r="BW27" s="103"/>
      <c r="BX27" s="103"/>
      <c r="BY27" s="103"/>
      <c r="BZ27" s="103"/>
      <c r="CA27" s="98"/>
      <c r="CB27" s="98"/>
      <c r="CC27" s="98"/>
      <c r="CD27" s="98"/>
      <c r="CE27" s="98"/>
      <c r="CF27" s="103"/>
      <c r="CG27" s="103"/>
      <c r="CH27" s="103"/>
      <c r="CI27" s="103"/>
      <c r="CJ27" s="103"/>
      <c r="CK27" s="100"/>
      <c r="CL27" s="98"/>
      <c r="CM27" s="98"/>
      <c r="CN27" s="98"/>
      <c r="CO27" s="98"/>
      <c r="CP27" s="100"/>
    </row>
    <row r="28" ht="19.5" customHeight="1">
      <c r="B28" s="91" t="s">
        <v>86</v>
      </c>
      <c r="C28" s="92" t="s">
        <v>87</v>
      </c>
      <c r="D28" s="93"/>
      <c r="E28" s="94"/>
      <c r="F28" s="105"/>
      <c r="G28" s="95" t="str">
        <f t="shared" si="1"/>
        <v/>
      </c>
      <c r="H28" s="96">
        <v>0.0</v>
      </c>
      <c r="I28" s="97"/>
      <c r="J28" s="98"/>
      <c r="K28" s="98"/>
      <c r="L28" s="98"/>
      <c r="M28" s="98"/>
      <c r="N28" s="99"/>
      <c r="O28" s="99"/>
      <c r="P28" s="99"/>
      <c r="Q28" s="99"/>
      <c r="R28" s="99"/>
      <c r="S28" s="98"/>
      <c r="T28" s="98"/>
      <c r="U28" s="98"/>
      <c r="V28" s="98"/>
      <c r="W28" s="98"/>
      <c r="X28" s="99"/>
      <c r="Y28" s="99"/>
      <c r="Z28" s="99"/>
      <c r="AA28" s="99"/>
      <c r="AB28" s="99"/>
      <c r="AC28" s="100"/>
      <c r="AD28" s="98"/>
      <c r="AE28" s="98"/>
      <c r="AF28" s="98"/>
      <c r="AG28" s="98"/>
      <c r="AH28" s="101"/>
      <c r="AI28" s="101"/>
      <c r="AJ28" s="101"/>
      <c r="AK28" s="101"/>
      <c r="AL28" s="101"/>
      <c r="AM28" s="98"/>
      <c r="AN28" s="98"/>
      <c r="AO28" s="98"/>
      <c r="AP28" s="98"/>
      <c r="AQ28" s="98"/>
      <c r="AR28" s="101"/>
      <c r="AS28" s="101"/>
      <c r="AT28" s="101"/>
      <c r="AU28" s="101"/>
      <c r="AV28" s="101"/>
      <c r="AW28" s="100"/>
      <c r="AX28" s="98"/>
      <c r="AY28" s="98"/>
      <c r="AZ28" s="98"/>
      <c r="BA28" s="98"/>
      <c r="BB28" s="102"/>
      <c r="BC28" s="102"/>
      <c r="BD28" s="102"/>
      <c r="BE28" s="102"/>
      <c r="BF28" s="102"/>
      <c r="BG28" s="98"/>
      <c r="BH28" s="98"/>
      <c r="BI28" s="98"/>
      <c r="BJ28" s="98"/>
      <c r="BK28" s="98"/>
      <c r="BL28" s="102"/>
      <c r="BM28" s="102"/>
      <c r="BN28" s="102"/>
      <c r="BO28" s="102"/>
      <c r="BP28" s="102"/>
      <c r="BQ28" s="100"/>
      <c r="BR28" s="98"/>
      <c r="BS28" s="98"/>
      <c r="BT28" s="98"/>
      <c r="BU28" s="98"/>
      <c r="BV28" s="103"/>
      <c r="BW28" s="103"/>
      <c r="BX28" s="103"/>
      <c r="BY28" s="103"/>
      <c r="BZ28" s="103"/>
      <c r="CA28" s="98"/>
      <c r="CB28" s="98"/>
      <c r="CC28" s="98"/>
      <c r="CD28" s="98"/>
      <c r="CE28" s="98"/>
      <c r="CF28" s="103"/>
      <c r="CG28" s="103"/>
      <c r="CH28" s="103"/>
      <c r="CI28" s="103"/>
      <c r="CJ28" s="103"/>
      <c r="CK28" s="100"/>
      <c r="CL28" s="98"/>
      <c r="CM28" s="98"/>
      <c r="CN28" s="98"/>
      <c r="CO28" s="98"/>
      <c r="CP28" s="100"/>
    </row>
    <row r="29" ht="19.5" customHeight="1">
      <c r="B29" s="91" t="s">
        <v>88</v>
      </c>
      <c r="C29" s="92" t="s">
        <v>89</v>
      </c>
      <c r="D29" s="93"/>
      <c r="E29" s="94"/>
      <c r="F29" s="105"/>
      <c r="G29" s="95" t="str">
        <f t="shared" si="1"/>
        <v/>
      </c>
      <c r="H29" s="96">
        <v>0.0</v>
      </c>
      <c r="I29" s="97"/>
      <c r="J29" s="98"/>
      <c r="K29" s="98"/>
      <c r="L29" s="98"/>
      <c r="M29" s="98"/>
      <c r="N29" s="99"/>
      <c r="O29" s="99"/>
      <c r="P29" s="99"/>
      <c r="Q29" s="99"/>
      <c r="R29" s="99"/>
      <c r="S29" s="98"/>
      <c r="T29" s="98"/>
      <c r="U29" s="98"/>
      <c r="V29" s="98"/>
      <c r="W29" s="98"/>
      <c r="X29" s="99"/>
      <c r="Y29" s="99"/>
      <c r="Z29" s="99"/>
      <c r="AA29" s="99"/>
      <c r="AB29" s="99"/>
      <c r="AC29" s="100"/>
      <c r="AD29" s="98"/>
      <c r="AE29" s="98"/>
      <c r="AF29" s="98"/>
      <c r="AG29" s="98"/>
      <c r="AH29" s="101"/>
      <c r="AI29" s="101"/>
      <c r="AJ29" s="101"/>
      <c r="AK29" s="101"/>
      <c r="AL29" s="101"/>
      <c r="AM29" s="98"/>
      <c r="AN29" s="98"/>
      <c r="AO29" s="98"/>
      <c r="AP29" s="98"/>
      <c r="AQ29" s="98"/>
      <c r="AR29" s="101"/>
      <c r="AS29" s="101"/>
      <c r="AT29" s="101"/>
      <c r="AU29" s="101"/>
      <c r="AV29" s="101"/>
      <c r="AW29" s="100"/>
      <c r="AX29" s="98"/>
      <c r="AY29" s="98"/>
      <c r="AZ29" s="98"/>
      <c r="BA29" s="98"/>
      <c r="BB29" s="102"/>
      <c r="BC29" s="102"/>
      <c r="BD29" s="102"/>
      <c r="BE29" s="102"/>
      <c r="BF29" s="102"/>
      <c r="BG29" s="98"/>
      <c r="BH29" s="98"/>
      <c r="BI29" s="98"/>
      <c r="BJ29" s="98"/>
      <c r="BK29" s="98"/>
      <c r="BL29" s="102"/>
      <c r="BM29" s="102"/>
      <c r="BN29" s="102"/>
      <c r="BO29" s="102"/>
      <c r="BP29" s="102"/>
      <c r="BQ29" s="100"/>
      <c r="BR29" s="98"/>
      <c r="BS29" s="98"/>
      <c r="BT29" s="98"/>
      <c r="BU29" s="98"/>
      <c r="BV29" s="103"/>
      <c r="BW29" s="103"/>
      <c r="BX29" s="103"/>
      <c r="BY29" s="103"/>
      <c r="BZ29" s="103"/>
      <c r="CA29" s="98"/>
      <c r="CB29" s="98"/>
      <c r="CC29" s="98"/>
      <c r="CD29" s="98"/>
      <c r="CE29" s="98"/>
      <c r="CF29" s="103"/>
      <c r="CG29" s="103"/>
      <c r="CH29" s="103"/>
      <c r="CI29" s="103"/>
      <c r="CJ29" s="103"/>
      <c r="CK29" s="100"/>
      <c r="CL29" s="98"/>
      <c r="CM29" s="98"/>
      <c r="CN29" s="98"/>
      <c r="CO29" s="98"/>
      <c r="CP29" s="100"/>
    </row>
    <row r="30" ht="19.5" customHeight="1">
      <c r="B30" s="91">
        <v>4.0</v>
      </c>
      <c r="C30" s="109" t="s">
        <v>90</v>
      </c>
      <c r="D30" s="110"/>
      <c r="E30" s="111"/>
      <c r="F30" s="113"/>
      <c r="G30" s="114" t="str">
        <f t="shared" si="1"/>
        <v/>
      </c>
      <c r="H30" s="116"/>
      <c r="I30" s="85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7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7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7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7"/>
      <c r="CL30" s="86"/>
      <c r="CM30" s="86"/>
      <c r="CN30" s="86"/>
      <c r="CO30" s="86"/>
      <c r="CP30" s="87"/>
    </row>
    <row r="31" ht="19.5" customHeight="1">
      <c r="B31" s="91" t="s">
        <v>91</v>
      </c>
      <c r="C31" s="92" t="s">
        <v>92</v>
      </c>
      <c r="D31" s="93"/>
      <c r="E31" s="94"/>
      <c r="F31" s="105"/>
      <c r="G31" s="95" t="str">
        <f t="shared" si="1"/>
        <v/>
      </c>
      <c r="H31" s="96">
        <v>0.0</v>
      </c>
      <c r="I31" s="97"/>
      <c r="J31" s="98"/>
      <c r="K31" s="98"/>
      <c r="L31" s="98"/>
      <c r="M31" s="98"/>
      <c r="N31" s="99"/>
      <c r="O31" s="99"/>
      <c r="P31" s="99"/>
      <c r="Q31" s="99"/>
      <c r="R31" s="99"/>
      <c r="S31" s="98"/>
      <c r="T31" s="98"/>
      <c r="U31" s="98"/>
      <c r="V31" s="98"/>
      <c r="W31" s="98"/>
      <c r="X31" s="99"/>
      <c r="Y31" s="99"/>
      <c r="Z31" s="99"/>
      <c r="AA31" s="99"/>
      <c r="AB31" s="99"/>
      <c r="AC31" s="100"/>
      <c r="AD31" s="98"/>
      <c r="AE31" s="98"/>
      <c r="AF31" s="98"/>
      <c r="AG31" s="98"/>
      <c r="AH31" s="101"/>
      <c r="AI31" s="101"/>
      <c r="AJ31" s="101"/>
      <c r="AK31" s="101"/>
      <c r="AL31" s="101"/>
      <c r="AM31" s="98"/>
      <c r="AN31" s="98"/>
      <c r="AO31" s="98"/>
      <c r="AP31" s="98"/>
      <c r="AQ31" s="98"/>
      <c r="AR31" s="101"/>
      <c r="AS31" s="101"/>
      <c r="AT31" s="101"/>
      <c r="AU31" s="101"/>
      <c r="AV31" s="101"/>
      <c r="AW31" s="100"/>
      <c r="AX31" s="98"/>
      <c r="AY31" s="98"/>
      <c r="AZ31" s="98"/>
      <c r="BA31" s="98"/>
      <c r="BB31" s="102"/>
      <c r="BC31" s="102"/>
      <c r="BD31" s="102"/>
      <c r="BE31" s="102"/>
      <c r="BF31" s="102"/>
      <c r="BG31" s="98"/>
      <c r="BH31" s="98"/>
      <c r="BI31" s="98"/>
      <c r="BJ31" s="98"/>
      <c r="BK31" s="98"/>
      <c r="BL31" s="102"/>
      <c r="BM31" s="102"/>
      <c r="BN31" s="102"/>
      <c r="BO31" s="102"/>
      <c r="BP31" s="102"/>
      <c r="BQ31" s="100"/>
      <c r="BR31" s="98"/>
      <c r="BS31" s="98"/>
      <c r="BT31" s="98"/>
      <c r="BU31" s="98"/>
      <c r="BV31" s="103"/>
      <c r="BW31" s="103"/>
      <c r="BX31" s="103"/>
      <c r="BY31" s="103"/>
      <c r="BZ31" s="103"/>
      <c r="CA31" s="98"/>
      <c r="CB31" s="98"/>
      <c r="CC31" s="98"/>
      <c r="CD31" s="98"/>
      <c r="CE31" s="98"/>
      <c r="CF31" s="103"/>
      <c r="CG31" s="103"/>
      <c r="CH31" s="103"/>
      <c r="CI31" s="103"/>
      <c r="CJ31" s="103"/>
      <c r="CK31" s="100"/>
      <c r="CL31" s="98"/>
      <c r="CM31" s="98"/>
      <c r="CN31" s="98"/>
      <c r="CO31" s="98"/>
      <c r="CP31" s="100"/>
    </row>
    <row r="32" ht="19.5" customHeight="1">
      <c r="B32" s="91" t="s">
        <v>93</v>
      </c>
      <c r="C32" s="92" t="s">
        <v>94</v>
      </c>
      <c r="D32" s="93"/>
      <c r="E32" s="94"/>
      <c r="F32" s="105"/>
      <c r="G32" s="95" t="str">
        <f t="shared" si="1"/>
        <v/>
      </c>
      <c r="H32" s="96">
        <v>0.0</v>
      </c>
      <c r="I32" s="97"/>
      <c r="J32" s="98"/>
      <c r="K32" s="98"/>
      <c r="L32" s="98"/>
      <c r="M32" s="98"/>
      <c r="N32" s="99"/>
      <c r="O32" s="99"/>
      <c r="P32" s="99"/>
      <c r="Q32" s="99"/>
      <c r="R32" s="99"/>
      <c r="S32" s="98"/>
      <c r="T32" s="98"/>
      <c r="U32" s="98"/>
      <c r="V32" s="98"/>
      <c r="W32" s="98"/>
      <c r="X32" s="99"/>
      <c r="Y32" s="99"/>
      <c r="Z32" s="99"/>
      <c r="AA32" s="99"/>
      <c r="AB32" s="99"/>
      <c r="AC32" s="100"/>
      <c r="AD32" s="98"/>
      <c r="AE32" s="98"/>
      <c r="AF32" s="98"/>
      <c r="AG32" s="98"/>
      <c r="AH32" s="101"/>
      <c r="AI32" s="101"/>
      <c r="AJ32" s="101"/>
      <c r="AK32" s="101"/>
      <c r="AL32" s="101"/>
      <c r="AM32" s="98"/>
      <c r="AN32" s="98"/>
      <c r="AO32" s="98"/>
      <c r="AP32" s="98"/>
      <c r="AQ32" s="98"/>
      <c r="AR32" s="101"/>
      <c r="AS32" s="101"/>
      <c r="AT32" s="101"/>
      <c r="AU32" s="101"/>
      <c r="AV32" s="101"/>
      <c r="AW32" s="100"/>
      <c r="AX32" s="98"/>
      <c r="AY32" s="98"/>
      <c r="AZ32" s="98"/>
      <c r="BA32" s="98"/>
      <c r="BB32" s="102"/>
      <c r="BC32" s="102"/>
      <c r="BD32" s="102"/>
      <c r="BE32" s="102"/>
      <c r="BF32" s="102"/>
      <c r="BG32" s="98"/>
      <c r="BH32" s="98"/>
      <c r="BI32" s="98"/>
      <c r="BJ32" s="98"/>
      <c r="BK32" s="98"/>
      <c r="BL32" s="102"/>
      <c r="BM32" s="102"/>
      <c r="BN32" s="102"/>
      <c r="BO32" s="102"/>
      <c r="BP32" s="102"/>
      <c r="BQ32" s="100"/>
      <c r="BR32" s="98"/>
      <c r="BS32" s="98"/>
      <c r="BT32" s="98"/>
      <c r="BU32" s="98"/>
      <c r="BV32" s="103"/>
      <c r="BW32" s="103"/>
      <c r="BX32" s="103"/>
      <c r="BY32" s="103"/>
      <c r="BZ32" s="103"/>
      <c r="CA32" s="98"/>
      <c r="CB32" s="98"/>
      <c r="CC32" s="98"/>
      <c r="CD32" s="98"/>
      <c r="CE32" s="98"/>
      <c r="CF32" s="103"/>
      <c r="CG32" s="103"/>
      <c r="CH32" s="103"/>
      <c r="CI32" s="103"/>
      <c r="CJ32" s="103"/>
      <c r="CK32" s="100"/>
      <c r="CL32" s="98"/>
      <c r="CM32" s="98"/>
      <c r="CN32" s="98"/>
      <c r="CO32" s="98"/>
      <c r="CP32" s="100"/>
    </row>
    <row r="33" ht="19.5" customHeight="1">
      <c r="B33" s="91" t="s">
        <v>95</v>
      </c>
      <c r="C33" s="92" t="s">
        <v>96</v>
      </c>
      <c r="D33" s="93"/>
      <c r="E33" s="94"/>
      <c r="F33" s="105"/>
      <c r="G33" s="95" t="str">
        <f t="shared" si="1"/>
        <v/>
      </c>
      <c r="H33" s="96">
        <v>0.0</v>
      </c>
      <c r="I33" s="97"/>
      <c r="J33" s="98"/>
      <c r="K33" s="98"/>
      <c r="L33" s="98"/>
      <c r="M33" s="98"/>
      <c r="N33" s="99"/>
      <c r="O33" s="99"/>
      <c r="P33" s="99"/>
      <c r="Q33" s="99"/>
      <c r="R33" s="99"/>
      <c r="S33" s="98"/>
      <c r="T33" s="98"/>
      <c r="U33" s="98"/>
      <c r="V33" s="98"/>
      <c r="W33" s="98"/>
      <c r="X33" s="99"/>
      <c r="Y33" s="99"/>
      <c r="Z33" s="99"/>
      <c r="AA33" s="99"/>
      <c r="AB33" s="99"/>
      <c r="AC33" s="100"/>
      <c r="AD33" s="98"/>
      <c r="AE33" s="98"/>
      <c r="AF33" s="98"/>
      <c r="AG33" s="98"/>
      <c r="AH33" s="101"/>
      <c r="AI33" s="101"/>
      <c r="AJ33" s="101"/>
      <c r="AK33" s="101"/>
      <c r="AL33" s="101"/>
      <c r="AM33" s="98"/>
      <c r="AN33" s="98"/>
      <c r="AO33" s="98"/>
      <c r="AP33" s="98"/>
      <c r="AQ33" s="98"/>
      <c r="AR33" s="101"/>
      <c r="AS33" s="101"/>
      <c r="AT33" s="101"/>
      <c r="AU33" s="101"/>
      <c r="AV33" s="101"/>
      <c r="AW33" s="100"/>
      <c r="AX33" s="98"/>
      <c r="AY33" s="98"/>
      <c r="AZ33" s="98"/>
      <c r="BA33" s="98"/>
      <c r="BB33" s="102"/>
      <c r="BC33" s="102"/>
      <c r="BD33" s="102"/>
      <c r="BE33" s="102"/>
      <c r="BF33" s="102"/>
      <c r="BG33" s="98"/>
      <c r="BH33" s="98"/>
      <c r="BI33" s="98"/>
      <c r="BJ33" s="98"/>
      <c r="BK33" s="98"/>
      <c r="BL33" s="102"/>
      <c r="BM33" s="102"/>
      <c r="BN33" s="102"/>
      <c r="BO33" s="102"/>
      <c r="BP33" s="102"/>
      <c r="BQ33" s="100"/>
      <c r="BR33" s="98"/>
      <c r="BS33" s="98"/>
      <c r="BT33" s="98"/>
      <c r="BU33" s="98"/>
      <c r="BV33" s="103"/>
      <c r="BW33" s="103"/>
      <c r="BX33" s="103"/>
      <c r="BY33" s="103"/>
      <c r="BZ33" s="103"/>
      <c r="CA33" s="98"/>
      <c r="CB33" s="98"/>
      <c r="CC33" s="98"/>
      <c r="CD33" s="98"/>
      <c r="CE33" s="98"/>
      <c r="CF33" s="103"/>
      <c r="CG33" s="103"/>
      <c r="CH33" s="103"/>
      <c r="CI33" s="103"/>
      <c r="CJ33" s="103"/>
      <c r="CK33" s="100"/>
      <c r="CL33" s="98"/>
      <c r="CM33" s="98"/>
      <c r="CN33" s="98"/>
      <c r="CO33" s="98"/>
      <c r="CP33" s="100"/>
    </row>
    <row r="34" ht="19.5" customHeight="1">
      <c r="B34" s="91" t="s">
        <v>97</v>
      </c>
      <c r="C34" s="92" t="s">
        <v>98</v>
      </c>
      <c r="D34" s="124"/>
      <c r="E34" s="125"/>
      <c r="F34" s="126"/>
      <c r="G34" s="127" t="str">
        <f t="shared" si="1"/>
        <v/>
      </c>
      <c r="H34" s="128">
        <v>0.0</v>
      </c>
      <c r="I34" s="129"/>
      <c r="J34" s="130"/>
      <c r="K34" s="130"/>
      <c r="L34" s="130"/>
      <c r="M34" s="130"/>
      <c r="N34" s="131"/>
      <c r="O34" s="131"/>
      <c r="P34" s="131"/>
      <c r="Q34" s="131"/>
      <c r="R34" s="131"/>
      <c r="S34" s="130"/>
      <c r="T34" s="130"/>
      <c r="U34" s="130"/>
      <c r="V34" s="130"/>
      <c r="W34" s="130"/>
      <c r="X34" s="131"/>
      <c r="Y34" s="131"/>
      <c r="Z34" s="131"/>
      <c r="AA34" s="131"/>
      <c r="AB34" s="131"/>
      <c r="AC34" s="132"/>
      <c r="AD34" s="130"/>
      <c r="AE34" s="130"/>
      <c r="AF34" s="130"/>
      <c r="AG34" s="130"/>
      <c r="AH34" s="133"/>
      <c r="AI34" s="133"/>
      <c r="AJ34" s="133"/>
      <c r="AK34" s="133"/>
      <c r="AL34" s="133"/>
      <c r="AM34" s="130"/>
      <c r="AN34" s="130"/>
      <c r="AO34" s="130"/>
      <c r="AP34" s="130"/>
      <c r="AQ34" s="130"/>
      <c r="AR34" s="133"/>
      <c r="AS34" s="133"/>
      <c r="AT34" s="133"/>
      <c r="AU34" s="133"/>
      <c r="AV34" s="133"/>
      <c r="AW34" s="132"/>
      <c r="AX34" s="130"/>
      <c r="AY34" s="130"/>
      <c r="AZ34" s="130"/>
      <c r="BA34" s="130"/>
      <c r="BB34" s="134"/>
      <c r="BC34" s="134"/>
      <c r="BD34" s="134"/>
      <c r="BE34" s="134"/>
      <c r="BF34" s="134"/>
      <c r="BG34" s="130"/>
      <c r="BH34" s="130"/>
      <c r="BI34" s="130"/>
      <c r="BJ34" s="130"/>
      <c r="BK34" s="130"/>
      <c r="BL34" s="134"/>
      <c r="BM34" s="134"/>
      <c r="BN34" s="134"/>
      <c r="BO34" s="134"/>
      <c r="BP34" s="134"/>
      <c r="BQ34" s="132"/>
      <c r="BR34" s="130"/>
      <c r="BS34" s="130"/>
      <c r="BT34" s="130"/>
      <c r="BU34" s="130"/>
      <c r="BV34" s="135"/>
      <c r="BW34" s="135"/>
      <c r="BX34" s="135"/>
      <c r="BY34" s="135"/>
      <c r="BZ34" s="135"/>
      <c r="CA34" s="130"/>
      <c r="CB34" s="130"/>
      <c r="CC34" s="130"/>
      <c r="CD34" s="130"/>
      <c r="CE34" s="130"/>
      <c r="CF34" s="135"/>
      <c r="CG34" s="135"/>
      <c r="CH34" s="135"/>
      <c r="CI34" s="135"/>
      <c r="CJ34" s="135"/>
      <c r="CK34" s="132"/>
      <c r="CL34" s="130"/>
      <c r="CM34" s="130"/>
      <c r="CN34" s="130"/>
      <c r="CO34" s="130"/>
      <c r="CP34" s="132"/>
    </row>
    <row r="35" ht="19.5" customHeight="1">
      <c r="B35" s="91" t="s">
        <v>99</v>
      </c>
      <c r="C35" s="109" t="s">
        <v>100</v>
      </c>
      <c r="D35" s="110"/>
      <c r="E35" s="111"/>
      <c r="F35" s="113"/>
      <c r="G35" s="114" t="str">
        <f t="shared" si="1"/>
        <v/>
      </c>
      <c r="H35" s="116"/>
      <c r="I35" s="85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7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7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7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7"/>
      <c r="CL35" s="86"/>
      <c r="CM35" s="86"/>
      <c r="CN35" s="86"/>
      <c r="CO35" s="86"/>
      <c r="CP35" s="87"/>
    </row>
    <row r="36" ht="19.5" customHeight="1">
      <c r="B36" s="91" t="s">
        <v>101</v>
      </c>
      <c r="C36" s="92" t="s">
        <v>102</v>
      </c>
      <c r="D36" s="93"/>
      <c r="E36" s="94"/>
      <c r="F36" s="105"/>
      <c r="G36" s="95" t="str">
        <f t="shared" si="1"/>
        <v/>
      </c>
      <c r="H36" s="96">
        <v>0.0</v>
      </c>
      <c r="I36" s="97"/>
      <c r="J36" s="98"/>
      <c r="K36" s="98"/>
      <c r="L36" s="98"/>
      <c r="M36" s="98"/>
      <c r="N36" s="99"/>
      <c r="O36" s="99"/>
      <c r="P36" s="99"/>
      <c r="Q36" s="99"/>
      <c r="R36" s="99"/>
      <c r="S36" s="98"/>
      <c r="T36" s="98"/>
      <c r="U36" s="98"/>
      <c r="V36" s="98"/>
      <c r="W36" s="98"/>
      <c r="X36" s="99"/>
      <c r="Y36" s="99"/>
      <c r="Z36" s="99"/>
      <c r="AA36" s="99"/>
      <c r="AB36" s="99"/>
      <c r="AC36" s="100"/>
      <c r="AD36" s="98"/>
      <c r="AE36" s="98"/>
      <c r="AF36" s="98"/>
      <c r="AG36" s="98"/>
      <c r="AH36" s="101"/>
      <c r="AI36" s="101"/>
      <c r="AJ36" s="101"/>
      <c r="AK36" s="101"/>
      <c r="AL36" s="101"/>
      <c r="AM36" s="98"/>
      <c r="AN36" s="98"/>
      <c r="AO36" s="98"/>
      <c r="AP36" s="98"/>
      <c r="AQ36" s="98"/>
      <c r="AR36" s="101"/>
      <c r="AS36" s="101"/>
      <c r="AT36" s="101"/>
      <c r="AU36" s="101"/>
      <c r="AV36" s="101"/>
      <c r="AW36" s="100"/>
      <c r="AX36" s="98"/>
      <c r="AY36" s="98"/>
      <c r="AZ36" s="98"/>
      <c r="BA36" s="98"/>
      <c r="BB36" s="102"/>
      <c r="BC36" s="102"/>
      <c r="BD36" s="102"/>
      <c r="BE36" s="102"/>
      <c r="BF36" s="102"/>
      <c r="BG36" s="98"/>
      <c r="BH36" s="98"/>
      <c r="BI36" s="98"/>
      <c r="BJ36" s="98"/>
      <c r="BK36" s="98"/>
      <c r="BL36" s="102"/>
      <c r="BM36" s="102"/>
      <c r="BN36" s="102"/>
      <c r="BO36" s="102"/>
      <c r="BP36" s="102"/>
      <c r="BQ36" s="100"/>
      <c r="BR36" s="98"/>
      <c r="BS36" s="98"/>
      <c r="BT36" s="98"/>
      <c r="BU36" s="98"/>
      <c r="BV36" s="103"/>
      <c r="BW36" s="103"/>
      <c r="BX36" s="103"/>
      <c r="BY36" s="103"/>
      <c r="BZ36" s="103"/>
      <c r="CA36" s="98"/>
      <c r="CB36" s="98"/>
      <c r="CC36" s="98"/>
      <c r="CD36" s="98"/>
      <c r="CE36" s="98"/>
      <c r="CF36" s="103"/>
      <c r="CG36" s="103"/>
      <c r="CH36" s="103"/>
      <c r="CI36" s="103"/>
      <c r="CJ36" s="103"/>
      <c r="CK36" s="100"/>
      <c r="CL36" s="98"/>
      <c r="CM36" s="98"/>
      <c r="CN36" s="98"/>
      <c r="CO36" s="98"/>
      <c r="CP36" s="100"/>
    </row>
    <row r="37" ht="19.5" customHeight="1">
      <c r="B37" s="91" t="s">
        <v>103</v>
      </c>
      <c r="C37" s="92" t="s">
        <v>104</v>
      </c>
      <c r="D37" s="93"/>
      <c r="E37" s="94"/>
      <c r="F37" s="105"/>
      <c r="G37" s="95" t="str">
        <f t="shared" si="1"/>
        <v/>
      </c>
      <c r="H37" s="96">
        <v>0.0</v>
      </c>
      <c r="I37" s="97"/>
      <c r="J37" s="98"/>
      <c r="K37" s="98"/>
      <c r="L37" s="98"/>
      <c r="M37" s="98"/>
      <c r="N37" s="99"/>
      <c r="O37" s="99"/>
      <c r="P37" s="99"/>
      <c r="Q37" s="99"/>
      <c r="R37" s="99"/>
      <c r="S37" s="98"/>
      <c r="T37" s="98"/>
      <c r="U37" s="98"/>
      <c r="V37" s="98"/>
      <c r="W37" s="98"/>
      <c r="X37" s="99"/>
      <c r="Y37" s="99"/>
      <c r="Z37" s="99"/>
      <c r="AA37" s="99"/>
      <c r="AB37" s="99"/>
      <c r="AC37" s="100"/>
      <c r="AD37" s="98"/>
      <c r="AE37" s="98"/>
      <c r="AF37" s="98"/>
      <c r="AG37" s="98"/>
      <c r="AH37" s="101"/>
      <c r="AI37" s="101"/>
      <c r="AJ37" s="101"/>
      <c r="AK37" s="101"/>
      <c r="AL37" s="101"/>
      <c r="AM37" s="98"/>
      <c r="AN37" s="98"/>
      <c r="AO37" s="98"/>
      <c r="AP37" s="98"/>
      <c r="AQ37" s="98"/>
      <c r="AR37" s="101"/>
      <c r="AS37" s="101"/>
      <c r="AT37" s="101"/>
      <c r="AU37" s="101"/>
      <c r="AV37" s="101"/>
      <c r="AW37" s="100"/>
      <c r="AX37" s="98"/>
      <c r="AY37" s="98"/>
      <c r="AZ37" s="98"/>
      <c r="BA37" s="98"/>
      <c r="BB37" s="102"/>
      <c r="BC37" s="102"/>
      <c r="BD37" s="102"/>
      <c r="BE37" s="102"/>
      <c r="BF37" s="102"/>
      <c r="BG37" s="98"/>
      <c r="BH37" s="98"/>
      <c r="BI37" s="98"/>
      <c r="BJ37" s="98"/>
      <c r="BK37" s="98"/>
      <c r="BL37" s="102"/>
      <c r="BM37" s="102"/>
      <c r="BN37" s="102"/>
      <c r="BO37" s="102"/>
      <c r="BP37" s="102"/>
      <c r="BQ37" s="100"/>
      <c r="BR37" s="98"/>
      <c r="BS37" s="98"/>
      <c r="BT37" s="98"/>
      <c r="BU37" s="98"/>
      <c r="BV37" s="103"/>
      <c r="BW37" s="103"/>
      <c r="BX37" s="103"/>
      <c r="BY37" s="103"/>
      <c r="BZ37" s="103"/>
      <c r="CA37" s="98"/>
      <c r="CB37" s="98"/>
      <c r="CC37" s="98"/>
      <c r="CD37" s="98"/>
      <c r="CE37" s="98"/>
      <c r="CF37" s="103"/>
      <c r="CG37" s="103"/>
      <c r="CH37" s="103"/>
      <c r="CI37" s="103"/>
      <c r="CJ37" s="103"/>
      <c r="CK37" s="100"/>
      <c r="CL37" s="98"/>
      <c r="CM37" s="98"/>
      <c r="CN37" s="98"/>
      <c r="CO37" s="98"/>
      <c r="CP37" s="100"/>
    </row>
    <row r="38" ht="19.5" customHeight="1">
      <c r="B38" s="91" t="s">
        <v>106</v>
      </c>
      <c r="C38" s="92" t="s">
        <v>107</v>
      </c>
      <c r="D38" s="93"/>
      <c r="E38" s="94"/>
      <c r="F38" s="105"/>
      <c r="G38" s="95" t="str">
        <f t="shared" si="1"/>
        <v/>
      </c>
      <c r="H38" s="96">
        <v>0.0</v>
      </c>
      <c r="I38" s="97"/>
      <c r="J38" s="98"/>
      <c r="K38" s="98"/>
      <c r="L38" s="98"/>
      <c r="M38" s="98"/>
      <c r="N38" s="99"/>
      <c r="O38" s="99"/>
      <c r="P38" s="99"/>
      <c r="Q38" s="99"/>
      <c r="R38" s="99"/>
      <c r="S38" s="98"/>
      <c r="T38" s="98"/>
      <c r="U38" s="98"/>
      <c r="V38" s="98"/>
      <c r="W38" s="98"/>
      <c r="X38" s="99"/>
      <c r="Y38" s="99"/>
      <c r="Z38" s="99"/>
      <c r="AA38" s="99"/>
      <c r="AB38" s="99"/>
      <c r="AC38" s="100"/>
      <c r="AD38" s="98"/>
      <c r="AE38" s="98"/>
      <c r="AF38" s="98"/>
      <c r="AG38" s="98"/>
      <c r="AH38" s="101"/>
      <c r="AI38" s="101"/>
      <c r="AJ38" s="101"/>
      <c r="AK38" s="101"/>
      <c r="AL38" s="101"/>
      <c r="AM38" s="98"/>
      <c r="AN38" s="98"/>
      <c r="AO38" s="98"/>
      <c r="AP38" s="98"/>
      <c r="AQ38" s="98"/>
      <c r="AR38" s="101"/>
      <c r="AS38" s="101"/>
      <c r="AT38" s="101"/>
      <c r="AU38" s="101"/>
      <c r="AV38" s="101"/>
      <c r="AW38" s="100"/>
      <c r="AX38" s="98"/>
      <c r="AY38" s="98"/>
      <c r="AZ38" s="98"/>
      <c r="BA38" s="98"/>
      <c r="BB38" s="102"/>
      <c r="BC38" s="102"/>
      <c r="BD38" s="102"/>
      <c r="BE38" s="102"/>
      <c r="BF38" s="102"/>
      <c r="BG38" s="98"/>
      <c r="BH38" s="98"/>
      <c r="BI38" s="98"/>
      <c r="BJ38" s="98"/>
      <c r="BK38" s="98"/>
      <c r="BL38" s="102"/>
      <c r="BM38" s="102"/>
      <c r="BN38" s="102"/>
      <c r="BO38" s="102"/>
      <c r="BP38" s="102"/>
      <c r="BQ38" s="100"/>
      <c r="BR38" s="98"/>
      <c r="BS38" s="98"/>
      <c r="BT38" s="98"/>
      <c r="BU38" s="98"/>
      <c r="BV38" s="103"/>
      <c r="BW38" s="103"/>
      <c r="BX38" s="103"/>
      <c r="BY38" s="103"/>
      <c r="BZ38" s="103"/>
      <c r="CA38" s="98"/>
      <c r="CB38" s="98"/>
      <c r="CC38" s="98"/>
      <c r="CD38" s="98"/>
      <c r="CE38" s="98"/>
      <c r="CF38" s="103"/>
      <c r="CG38" s="103"/>
      <c r="CH38" s="103"/>
      <c r="CI38" s="103"/>
      <c r="CJ38" s="103"/>
      <c r="CK38" s="100"/>
      <c r="CL38" s="98"/>
      <c r="CM38" s="98"/>
      <c r="CN38" s="98"/>
      <c r="CO38" s="98"/>
      <c r="CP38" s="100"/>
    </row>
    <row r="39" ht="19.5" customHeight="1">
      <c r="B39" s="91" t="s">
        <v>109</v>
      </c>
      <c r="C39" s="92" t="s">
        <v>110</v>
      </c>
      <c r="D39" s="124"/>
      <c r="E39" s="125"/>
      <c r="F39" s="126"/>
      <c r="G39" s="127" t="str">
        <f t="shared" si="1"/>
        <v/>
      </c>
      <c r="H39" s="128">
        <v>0.0</v>
      </c>
      <c r="I39" s="129"/>
      <c r="J39" s="130"/>
      <c r="K39" s="130"/>
      <c r="L39" s="130"/>
      <c r="M39" s="130"/>
      <c r="N39" s="131"/>
      <c r="O39" s="131"/>
      <c r="P39" s="131"/>
      <c r="Q39" s="131"/>
      <c r="R39" s="131"/>
      <c r="S39" s="130"/>
      <c r="T39" s="130"/>
      <c r="U39" s="130"/>
      <c r="V39" s="130"/>
      <c r="W39" s="130"/>
      <c r="X39" s="131"/>
      <c r="Y39" s="131"/>
      <c r="Z39" s="131"/>
      <c r="AA39" s="131"/>
      <c r="AB39" s="131"/>
      <c r="AC39" s="132"/>
      <c r="AD39" s="130"/>
      <c r="AE39" s="130"/>
      <c r="AF39" s="130"/>
      <c r="AG39" s="130"/>
      <c r="AH39" s="133"/>
      <c r="AI39" s="133"/>
      <c r="AJ39" s="133"/>
      <c r="AK39" s="133"/>
      <c r="AL39" s="133"/>
      <c r="AM39" s="130"/>
      <c r="AN39" s="130"/>
      <c r="AO39" s="130"/>
      <c r="AP39" s="130"/>
      <c r="AQ39" s="130"/>
      <c r="AR39" s="133"/>
      <c r="AS39" s="133"/>
      <c r="AT39" s="133"/>
      <c r="AU39" s="133"/>
      <c r="AV39" s="133"/>
      <c r="AW39" s="132"/>
      <c r="AX39" s="130"/>
      <c r="AY39" s="130"/>
      <c r="AZ39" s="130"/>
      <c r="BA39" s="130"/>
      <c r="BB39" s="134"/>
      <c r="BC39" s="134"/>
      <c r="BD39" s="134"/>
      <c r="BE39" s="134"/>
      <c r="BF39" s="134"/>
      <c r="BG39" s="130"/>
      <c r="BH39" s="130"/>
      <c r="BI39" s="130"/>
      <c r="BJ39" s="130"/>
      <c r="BK39" s="130"/>
      <c r="BL39" s="134"/>
      <c r="BM39" s="134"/>
      <c r="BN39" s="134"/>
      <c r="BO39" s="134"/>
      <c r="BP39" s="134"/>
      <c r="BQ39" s="132"/>
      <c r="BR39" s="130"/>
      <c r="BS39" s="130"/>
      <c r="BT39" s="130"/>
      <c r="BU39" s="130"/>
      <c r="BV39" s="135"/>
      <c r="BW39" s="135"/>
      <c r="BX39" s="135"/>
      <c r="BY39" s="135"/>
      <c r="BZ39" s="135"/>
      <c r="CA39" s="130"/>
      <c r="CB39" s="130"/>
      <c r="CC39" s="130"/>
      <c r="CD39" s="130"/>
      <c r="CE39" s="130"/>
      <c r="CF39" s="135"/>
      <c r="CG39" s="135"/>
      <c r="CH39" s="135"/>
      <c r="CI39" s="135"/>
      <c r="CJ39" s="135"/>
      <c r="CK39" s="132"/>
      <c r="CL39" s="130"/>
      <c r="CM39" s="130"/>
      <c r="CN39" s="130"/>
      <c r="CO39" s="130"/>
      <c r="CP39" s="132"/>
    </row>
    <row r="46">
      <c r="C46" s="145"/>
    </row>
  </sheetData>
  <mergeCells count="22">
    <mergeCell ref="S8:W8"/>
    <mergeCell ref="X8:AB8"/>
    <mergeCell ref="AC8:AG8"/>
    <mergeCell ref="AH8:AL8"/>
    <mergeCell ref="AM8:AQ8"/>
    <mergeCell ref="AR8:AV8"/>
    <mergeCell ref="AW8:BA8"/>
    <mergeCell ref="BB8:BF8"/>
    <mergeCell ref="BG8:BK8"/>
    <mergeCell ref="BL8:BP8"/>
    <mergeCell ref="BQ8:BU8"/>
    <mergeCell ref="BV8:BZ8"/>
    <mergeCell ref="CA8:CE8"/>
    <mergeCell ref="CF8:CJ8"/>
    <mergeCell ref="I7:AB7"/>
    <mergeCell ref="AC7:AV7"/>
    <mergeCell ref="AW7:BP7"/>
    <mergeCell ref="BQ7:CJ7"/>
    <mergeCell ref="CK7:CO7"/>
    <mergeCell ref="I8:M8"/>
    <mergeCell ref="N8:R8"/>
    <mergeCell ref="CK8:CO8"/>
  </mergeCells>
  <printOptions/>
  <pageMargins bottom="0.75" footer="0.0" header="0.0" left="0.7" right="0.7" top="0.75"/>
  <pageSetup orientation="landscape"/>
  <drawing r:id="rId1"/>
</worksheet>
</file>